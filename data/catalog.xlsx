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barzo\Desktop\Інвентаризація\Чернігів\"/>
    </mc:Choice>
  </mc:AlternateContent>
  <xr:revisionPtr revIDLastSave="0" documentId="8_{6E13705C-9D6D-4FEB-AF9A-5161895609B8}" xr6:coauthVersionLast="47" xr6:coauthVersionMax="47" xr10:uidLastSave="{00000000-0000-0000-0000-000000000000}"/>
  <bookViews>
    <workbookView xWindow="2544" yWindow="2544" windowWidth="19188" windowHeight="11100" xr2:uid="{00000000-000D-0000-FFFF-FFFF00000000}"/>
  </bookViews>
  <sheets>
    <sheet name="Звіт OLX" sheetId="1" r:id="rId1"/>
    <sheet name="Вихідні дані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69" i="1" l="1"/>
  <c r="B468" i="1"/>
  <c r="B467" i="1"/>
  <c r="B466" i="1"/>
  <c r="B463" i="1"/>
  <c r="B462" i="1"/>
  <c r="B461" i="1"/>
  <c r="B457" i="1"/>
  <c r="B447" i="1"/>
  <c r="B446" i="1"/>
  <c r="B440" i="1"/>
  <c r="B439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13" i="1"/>
  <c r="B412" i="1"/>
  <c r="B411" i="1"/>
  <c r="B410" i="1"/>
  <c r="B402" i="1"/>
  <c r="B401" i="1"/>
  <c r="B400" i="1"/>
  <c r="B399" i="1"/>
  <c r="B398" i="1"/>
  <c r="B397" i="1"/>
  <c r="B396" i="1"/>
  <c r="B395" i="1"/>
  <c r="B394" i="1"/>
  <c r="B390" i="1"/>
  <c r="B389" i="1"/>
  <c r="B388" i="1"/>
  <c r="B387" i="1"/>
  <c r="B386" i="1"/>
  <c r="B385" i="1"/>
  <c r="B384" i="1"/>
  <c r="B383" i="1"/>
  <c r="B382" i="1"/>
  <c r="B373" i="1"/>
  <c r="B372" i="1"/>
  <c r="B371" i="1"/>
  <c r="B370" i="1"/>
  <c r="B369" i="1"/>
  <c r="B368" i="1"/>
  <c r="B367" i="1"/>
  <c r="B363" i="1"/>
  <c r="B362" i="1"/>
  <c r="B361" i="1"/>
  <c r="B359" i="1"/>
  <c r="B358" i="1"/>
  <c r="B357" i="1"/>
  <c r="B356" i="1"/>
  <c r="B355" i="1"/>
  <c r="B354" i="1"/>
  <c r="B352" i="1"/>
  <c r="B351" i="1"/>
  <c r="B350" i="1"/>
  <c r="B349" i="1"/>
  <c r="B348" i="1"/>
  <c r="B347" i="1"/>
  <c r="B346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1" i="1"/>
  <c r="B320" i="1"/>
  <c r="B318" i="1"/>
  <c r="B317" i="1"/>
  <c r="B316" i="1"/>
  <c r="B315" i="1"/>
  <c r="B309" i="1"/>
  <c r="B308" i="1"/>
  <c r="B305" i="1"/>
  <c r="B304" i="1"/>
  <c r="B303" i="1"/>
  <c r="B302" i="1"/>
  <c r="B299" i="1"/>
  <c r="B298" i="1"/>
  <c r="B297" i="1"/>
  <c r="B296" i="1"/>
  <c r="B295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1" i="1"/>
  <c r="B270" i="1"/>
  <c r="B269" i="1"/>
  <c r="B268" i="1"/>
  <c r="B267" i="1"/>
  <c r="B266" i="1"/>
  <c r="B264" i="1"/>
  <c r="B263" i="1"/>
  <c r="B262" i="1"/>
  <c r="B260" i="1"/>
  <c r="B259" i="1"/>
  <c r="B258" i="1"/>
  <c r="B257" i="1"/>
  <c r="B256" i="1"/>
  <c r="B255" i="1"/>
  <c r="B253" i="1"/>
  <c r="B252" i="1"/>
  <c r="B251" i="1"/>
  <c r="B250" i="1"/>
  <c r="B249" i="1"/>
  <c r="B248" i="1"/>
  <c r="B246" i="1"/>
  <c r="B245" i="1"/>
  <c r="B244" i="1"/>
  <c r="B243" i="1"/>
  <c r="B242" i="1"/>
  <c r="B241" i="1"/>
  <c r="B240" i="1"/>
  <c r="B239" i="1"/>
  <c r="B237" i="1"/>
  <c r="B236" i="1"/>
  <c r="B235" i="1"/>
  <c r="B233" i="1"/>
  <c r="B232" i="1"/>
  <c r="B231" i="1"/>
  <c r="B230" i="1"/>
  <c r="B229" i="1"/>
  <c r="B227" i="1"/>
  <c r="B226" i="1"/>
  <c r="B225" i="1"/>
  <c r="B224" i="1"/>
  <c r="B223" i="1"/>
  <c r="B222" i="1"/>
  <c r="B221" i="1"/>
  <c r="B220" i="1"/>
  <c r="B219" i="1"/>
  <c r="B218" i="1"/>
  <c r="B217" i="1"/>
  <c r="B215" i="1"/>
  <c r="B214" i="1"/>
  <c r="B212" i="1"/>
  <c r="B211" i="1"/>
  <c r="B210" i="1"/>
  <c r="B209" i="1"/>
  <c r="B207" i="1"/>
  <c r="B206" i="1"/>
  <c r="B205" i="1"/>
  <c r="B204" i="1"/>
  <c r="B203" i="1"/>
  <c r="B202" i="1"/>
  <c r="B198" i="1"/>
  <c r="B197" i="1"/>
  <c r="B194" i="1"/>
  <c r="B193" i="1"/>
  <c r="B191" i="1"/>
  <c r="B190" i="1"/>
  <c r="B189" i="1"/>
  <c r="B188" i="1"/>
  <c r="B187" i="1"/>
  <c r="B186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0" i="1"/>
  <c r="B139" i="1"/>
  <c r="B138" i="1"/>
  <c r="B137" i="1"/>
  <c r="B136" i="1"/>
  <c r="B133" i="1"/>
  <c r="B132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2" i="1"/>
  <c r="B91" i="1"/>
  <c r="B90" i="1"/>
  <c r="B84" i="1"/>
  <c r="B83" i="1"/>
  <c r="B81" i="1"/>
  <c r="B80" i="1"/>
  <c r="B79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5" i="1"/>
  <c r="B44" i="1"/>
  <c r="B43" i="1"/>
  <c r="B40" i="1"/>
  <c r="B39" i="1"/>
  <c r="B38" i="1"/>
  <c r="B36" i="1"/>
  <c r="B35" i="1"/>
  <c r="B34" i="1"/>
  <c r="B33" i="1"/>
  <c r="B32" i="1"/>
  <c r="B31" i="1"/>
  <c r="B30" i="1"/>
  <c r="B29" i="1"/>
  <c r="B25" i="1"/>
  <c r="B24" i="1"/>
  <c r="B23" i="1"/>
  <c r="B20" i="1"/>
  <c r="B19" i="1"/>
  <c r="B18" i="1"/>
  <c r="B16" i="1"/>
  <c r="B13" i="1"/>
  <c r="B12" i="1"/>
  <c r="B10" i="1"/>
  <c r="B9" i="1"/>
  <c r="B8" i="1"/>
  <c r="B7" i="1"/>
  <c r="B6" i="1"/>
  <c r="B3" i="1"/>
  <c r="B2" i="1"/>
</calcChain>
</file>

<file path=xl/sharedStrings.xml><?xml version="1.0" encoding="utf-8"?>
<sst xmlns="http://schemas.openxmlformats.org/spreadsheetml/2006/main" count="4289" uniqueCount="1218">
  <si>
    <t>Інвентарний №</t>
  </si>
  <si>
    <t>№ фото</t>
  </si>
  <si>
    <t>Найменування Облік</t>
  </si>
  <si>
    <t>Найменування ОЛХ</t>
  </si>
  <si>
    <t>Локація</t>
  </si>
  <si>
    <t>К-сть</t>
  </si>
  <si>
    <t>Стан</t>
  </si>
  <si>
    <t>Подана Ціна на ОЛХ, грн</t>
  </si>
  <si>
    <t>Запропонована ціна на ОЛХ</t>
  </si>
  <si>
    <t>Заголовок OLX</t>
  </si>
  <si>
    <t>Статус подання</t>
  </si>
  <si>
    <t>Коментар</t>
  </si>
  <si>
    <t>Дата подання</t>
  </si>
  <si>
    <t>Термін розміщення, днів</t>
  </si>
  <si>
    <t>Дата продажу</t>
  </si>
  <si>
    <t>Результат</t>
  </si>
  <si>
    <t>Посилання OLX</t>
  </si>
  <si>
    <t>00-002488</t>
  </si>
  <si>
    <t>VACUUM SUSTEMS (HENKELMAN)</t>
  </si>
  <si>
    <t>Вакуумна пакувальна машина HENKELMAN</t>
  </si>
  <si>
    <t>Чернігів, склад НОА — вул. Інструментальна, 34а</t>
  </si>
  <si>
    <t>Не подано</t>
  </si>
  <si>
    <t>Можемо подати на ОЛХ</t>
  </si>
  <si>
    <t>00-002117</t>
  </si>
  <si>
    <t>Акумулятор EuroRepar Gel 12-33 МХП</t>
  </si>
  <si>
    <t>Гелевий акумулятор EuroRepar Gel 12-33</t>
  </si>
  <si>
    <t>Подаємо списком; у разі запиту від замовника отримуємо фото зі складу.</t>
  </si>
  <si>
    <t>00-002118</t>
  </si>
  <si>
    <t>Акумулятор Gel 12-65</t>
  </si>
  <si>
    <t>Гелевий акумулятор 12V 65Ah</t>
  </si>
  <si>
    <t>00-001203</t>
  </si>
  <si>
    <t>Акумуляторна батарея SJY LiFePO4 12V100Ah with LCD and Charger</t>
  </si>
  <si>
    <t>Акумуляторна батарея SJY LiFePO4 12V 100Ah з LCD та зарядним пристроєм</t>
  </si>
  <si>
    <t>00-001210</t>
  </si>
  <si>
    <t>00-001218</t>
  </si>
  <si>
    <t>00-001220</t>
  </si>
  <si>
    <t>00-001558</t>
  </si>
  <si>
    <t>Барна стійка, Чернігів, Всіхсвятська,3 1/1</t>
  </si>
  <si>
    <t>Барна стійка</t>
  </si>
  <si>
    <t>00-001572</t>
  </si>
  <si>
    <t>Барна стійка, Чернігів, Миру,201 1/1</t>
  </si>
  <si>
    <t>00-001557</t>
  </si>
  <si>
    <t>Барне огородження (комплект), Чернігів, Всіхсвятська,3 1/1</t>
  </si>
  <si>
    <t>Барне огородження, комплект</t>
  </si>
  <si>
    <t>00-001560</t>
  </si>
  <si>
    <t>Барний стілець, Чернігів, Всіхсвятська,3 1/2</t>
  </si>
  <si>
    <t>Барні стільці</t>
  </si>
  <si>
    <t>Подаємо списком; у разі запиту від замовника отримуємо фото зі складу. Примітка: без наліпки з номером</t>
  </si>
  <si>
    <t>00-002493</t>
  </si>
  <si>
    <t>Барний стілець, Чернігів, Всіхсвятська,3 1/3</t>
  </si>
  <si>
    <t>00-001146</t>
  </si>
  <si>
    <t>Блок живлення до відеоспостереження DH-PFM320D-015, Чернігів-Прилуки, Київська 1/1</t>
  </si>
  <si>
    <t>Блок живлення Dahua DH-PFM320D-015 для відеоспостереження</t>
  </si>
  <si>
    <t>00-001195</t>
  </si>
  <si>
    <t>Блок живлення до відеоспостереження DH-PFM320D-015, Чернігів,склад, Інструментальна 1/1</t>
  </si>
  <si>
    <t>00-001608</t>
  </si>
  <si>
    <t>Бойлер, Чернігів, Льотна 1/1</t>
  </si>
  <si>
    <t>Електричний бойлер</t>
  </si>
  <si>
    <t>00-000440</t>
  </si>
  <si>
    <t>Бренд Вол мал.</t>
  </si>
  <si>
    <t>Рекламна бренд-стіна (Brand Wall)</t>
  </si>
  <si>
    <t>00-001383</t>
  </si>
  <si>
    <t>Бренд Вол, Чернігів, Всіхсвятська,3б1/1</t>
  </si>
  <si>
    <t>00-001459</t>
  </si>
  <si>
    <t>Бренд Вол, Чернігів, Грушевського 1/1</t>
  </si>
  <si>
    <t>00-001470</t>
  </si>
  <si>
    <t>Бренд Вол, Чернігів, Миру,253 1/1</t>
  </si>
  <si>
    <t>00-001939</t>
  </si>
  <si>
    <t>Ваги електронні Промприлад BTA-60/15-5-A (CI) 32465 МХП</t>
  </si>
  <si>
    <t>Електронні торгові ваги Промприлад BTA-60/15-5-A</t>
  </si>
  <si>
    <t>00-002489</t>
  </si>
  <si>
    <t>Відеокамера цифрова DH-IPC-HDW2449T-S-IL Склад НОА Чернігів</t>
  </si>
  <si>
    <t>IP-відеокамера Dahua DH-IPC-HDW2449T-S-IL</t>
  </si>
  <si>
    <t>Подаємо списком; у разі запиту від замовника отримуємо фото зі складу. Примітка: без номера (була знята при передачі складу орендодавцю)</t>
  </si>
  <si>
    <t>00-002490</t>
  </si>
  <si>
    <t>Відеокамера цифрова DH-IPC-HDW2449T-S-IL склад НОА Чернігів 2</t>
  </si>
  <si>
    <t>Подаємо списком; у разі запиту від замовника отримуємо фото зі складу. Примітка: без номера</t>
  </si>
  <si>
    <t>00-001276</t>
  </si>
  <si>
    <t>Візок гідравлічний DB2000, Чернігів-склад НОА, Інструментальна 1/1</t>
  </si>
  <si>
    <t>Гідравлічний візок (рокла) DB2000</t>
  </si>
  <si>
    <t>00-002609</t>
  </si>
  <si>
    <t>Генератор GenPower GBG40 E МХП</t>
  </si>
  <si>
    <t>Бензиновий генератор GenPower GBG40E</t>
  </si>
  <si>
    <t>00-002044</t>
  </si>
  <si>
    <t>Генератор бензиновий GenPower GBG40E МХП</t>
  </si>
  <si>
    <t>00-002209</t>
  </si>
  <si>
    <t>00-001270</t>
  </si>
  <si>
    <t>Генератор бензиновый SIGMA 220В 7.5/8.0кВт, Чернігів-Городня,1Травня 1/1</t>
  </si>
  <si>
    <t>Бензиновий генератор SIGMA 220 В, 7,5/8,0 кВт</t>
  </si>
  <si>
    <t>00-001271</t>
  </si>
  <si>
    <t>Генератор бензиновый SIGMA 220В 7.5/8.0кВт, Чернігів-Мена,Шевченка 1/1</t>
  </si>
  <si>
    <t>00-001274</t>
  </si>
  <si>
    <t>Генератор бензиновый SIGMA 220В 7.5/8.0кВт, Чернігів-Ріпки,Святомиколаївська 1/1</t>
  </si>
  <si>
    <t>00-001272</t>
  </si>
  <si>
    <t>Генератор бензиновый SIGMA 220В 7.5/8.0кВт, Чернігів-Сосниця,Чернігівська 1/1</t>
  </si>
  <si>
    <t>00-001261</t>
  </si>
  <si>
    <t>Генератор бензиновый SIGMA 220В 7.5/8.0кВт, Чернігів, Гвард.Армії 1/1</t>
  </si>
  <si>
    <t>00-001263</t>
  </si>
  <si>
    <t>Генератор бензиновый SIGMA 220В 7.5/8.0кВт, Чернігів, Мазепи 1/1</t>
  </si>
  <si>
    <t>00-001266</t>
  </si>
  <si>
    <t>Генератор бензиновый SIGMA 220В 7.5/8.0кВт, Чернігів,Льотна 1/1</t>
  </si>
  <si>
    <t>00-001268</t>
  </si>
  <si>
    <t>Генератор бензиновый SIGMA 220В 7.5/8.0кВт, Чернігів,Пятницька 1/1</t>
  </si>
  <si>
    <t>00-001580</t>
  </si>
  <si>
    <t>Гриль для курки, Чернігів,Миру,201 1/1</t>
  </si>
  <si>
    <t>Професійний гриль для курей</t>
  </si>
  <si>
    <t>Можемо подати на ОЛХ. Примітка: без наліпки з номером</t>
  </si>
  <si>
    <t>00-001443</t>
  </si>
  <si>
    <t>Гриль для сосисок Чернігів-Сосниця, Чернігівська 1/1</t>
  </si>
  <si>
    <t>Роликовий гриль для сосисок</t>
  </si>
  <si>
    <t>https://www.olx.ua/d/uk/obyavlenie/prodam-rolikoviy-gril-ID11emWj.html?search_reason=search%7Corganic</t>
  </si>
  <si>
    <t>00-001570</t>
  </si>
  <si>
    <t>Гриль для шаурми, Чернігів,Всіхсвятська,3 1/1</t>
  </si>
  <si>
    <t>Професійний гриль для шаурми</t>
  </si>
  <si>
    <t>00-001579</t>
  </si>
  <si>
    <t>Гриль для шаурми, Чернігів,Миру,201 1/1</t>
  </si>
  <si>
    <t>00-000175</t>
  </si>
  <si>
    <t>Гриль Кий-В, Д1</t>
  </si>
  <si>
    <t>https://www\.olx.ua/d/uk/obyavlenie/gril-dlya-kurey-kiy-v-gk-6m-IDY07QA.html?srsltid=AfmBOoqBc76N47I0B3NB91WuHK5QAHUdgJfCl4hO0o4BGzp4A9qzV2EE</t>
  </si>
  <si>
    <t>00-001456</t>
  </si>
  <si>
    <t>Гриль прижимний, Чернігів, Грушевського 1/1</t>
  </si>
  <si>
    <t>Контактний притискний гриль</t>
  </si>
  <si>
    <t>https://www.olx.ua/d/uk/obyavlenie/gril-profesyniy-dlya-kebabv-ID1186EE.html?search_reason=search%7Corganic</t>
  </si>
  <si>
    <t>00-001457</t>
  </si>
  <si>
    <t>Гриль, Чернігів, Грушевського 1/1</t>
  </si>
  <si>
    <t>Електричний гриль</t>
  </si>
  <si>
    <t>00-001567</t>
  </si>
  <si>
    <t>Гриль, Чернігів,Всіхсвятська,3 1/1</t>
  </si>
  <si>
    <t>00-001576</t>
  </si>
  <si>
    <t>Гриль для сосисок, Чернігів,Миру,201 1/1</t>
  </si>
  <si>
    <t>00-002556</t>
  </si>
  <si>
    <t>Двигун VENTC VKM 250 1/2</t>
  </si>
  <si>
    <t>Канальний вентилятор VENTS VKM 250</t>
  </si>
  <si>
    <t>https://www.olx.ua/d/uk/obyavlenie/ventilyator-vents-vkm-250-ID109wQR.html</t>
  </si>
  <si>
    <t>00-002124</t>
  </si>
  <si>
    <t>Джерело безперебійного живлення SolarX SX-LET500</t>
  </si>
  <si>
    <t>00-001202</t>
  </si>
  <si>
    <t>Інвертор TechFine HB 1512 1200w 12v 30A</t>
  </si>
  <si>
    <t>Інвертор TechFine HB 1512, 1200 Вт, 12 В, 30 А</t>
  </si>
  <si>
    <t>00-001217</t>
  </si>
  <si>
    <t>00-001219</t>
  </si>
  <si>
    <t>00-001221</t>
  </si>
  <si>
    <t>00-000666</t>
  </si>
  <si>
    <t>Комплект охоронної сигналізації Ajax StarterKit 2 (8EU) white, Героїв Праці-Чернігів,Прилуки,Київськ</t>
  </si>
  <si>
    <t>Комплект охоронної сигналізації Ajax StarterKit 2 (8EU) White</t>
  </si>
  <si>
    <t>Поки що не подаємо</t>
  </si>
  <si>
    <t>Не подаємо — у примітках зазначено, що обладнання продано.</t>
  </si>
  <si>
    <t>00-001049</t>
  </si>
  <si>
    <t>Комплект охоронної сигналізації Ajax StarterKit 2 (8EU) white, Чернігів-Сосниця, Виноградського 1/1</t>
  </si>
  <si>
    <t>Подаємо списком; у разі запиту від замовника отримуємо фото зі складу. Примітка: фактичний інв. номер 1184</t>
  </si>
  <si>
    <t>00-002579</t>
  </si>
  <si>
    <t>Компресор від холодильного агрегату</t>
  </si>
  <si>
    <t>00-002450</t>
  </si>
  <si>
    <t>Кондиціонер "Grol" НР024 Чернігів</t>
  </si>
  <si>
    <t>Кондиціонери та внутрішні блоки різних моделей</t>
  </si>
  <si>
    <t>00-002483</t>
  </si>
  <si>
    <t>Кондиціонер ARCTIC внутрішній блок з НР022 Лук'яненка,17</t>
  </si>
  <si>
    <t>Фактична наявність не підтверджена — поки що не подаємо.</t>
  </si>
  <si>
    <t>00-001655</t>
  </si>
  <si>
    <t>Кондиціонер Digital, Київ-Березань, Шевченків Шлях 1/1 МХП</t>
  </si>
  <si>
    <t>00-002484</t>
  </si>
  <si>
    <t>Кондиціонер HONDA внутрішній блок з НР022 Лук'яненка,17</t>
  </si>
  <si>
    <t>00-002486</t>
  </si>
  <si>
    <t>Кондиціонер SATURN внутрішній блок з НР025 Миру,203</t>
  </si>
  <si>
    <t>00-000461</t>
  </si>
  <si>
    <t>Кондиціонер Вороб.гори</t>
  </si>
  <si>
    <t>00-001490</t>
  </si>
  <si>
    <t>Кондиціонер, Київ-Бобровиця, Незалежності 1/1</t>
  </si>
  <si>
    <t>00-001676</t>
  </si>
  <si>
    <t>Кондиціонер, Чернігів (Прилуки, Незалежності,64) 1/1</t>
  </si>
  <si>
    <t>00-001681</t>
  </si>
  <si>
    <t>Кондиціонер, Чернігів (Примакова, 1, м.7А) 1/1</t>
  </si>
  <si>
    <t>00-001531</t>
  </si>
  <si>
    <t>Кондиціонер, Чернігів-Бахмач,1Травня 1/2</t>
  </si>
  <si>
    <t>00-001545</t>
  </si>
  <si>
    <t>Кондиціонер, Чернігів-Борзна,Куліша 1/1</t>
  </si>
  <si>
    <t>00-001484</t>
  </si>
  <si>
    <t>Кондиціонер, Чернігів-Городня, Петрівського 1/1</t>
  </si>
  <si>
    <t>00-001498</t>
  </si>
  <si>
    <t>Кондиціонер, Чернігів-Ічня, Героїв Майдану,5г 1/1</t>
  </si>
  <si>
    <t>00-001512</t>
  </si>
  <si>
    <t>Кондиціонер, Чернігів-Мена, Шевченка,1 1/2</t>
  </si>
  <si>
    <t>00-001599</t>
  </si>
  <si>
    <t>Кондиціонер, Чернігів-Ріпки, Святомиколаївська 1/1</t>
  </si>
  <si>
    <t>00-001360</t>
  </si>
  <si>
    <t>Кондиціонер, Чернігів-Сосниця, Виноградського 1/1</t>
  </si>
  <si>
    <t>Можемо подати на ОЛХ. Примітка: компресорний блок</t>
  </si>
  <si>
    <t>00-001691</t>
  </si>
  <si>
    <t>Кондиціонер, Чернігів, (Всіхсвятська, 1) 1/1</t>
  </si>
  <si>
    <t>00-001293</t>
  </si>
  <si>
    <t>Кондиціонер, Чернігів, Всіхсвятська 3АІ-1 1/1</t>
  </si>
  <si>
    <t>00-001328</t>
  </si>
  <si>
    <t>Кондиціонер, Чернігів, Гвард.Армії,37 1/1</t>
  </si>
  <si>
    <t>00-001453</t>
  </si>
  <si>
    <t>Кондиціонер, Чернігів, Грушевського 1/1</t>
  </si>
  <si>
    <t>00-001322</t>
  </si>
  <si>
    <t>Кондиціонер, Чернігів, Дніпровська,4 1/1</t>
  </si>
  <si>
    <t>00-001316</t>
  </si>
  <si>
    <t>Кондиціонер, Чернігів, Космонавтів,2 1/1</t>
  </si>
  <si>
    <t>00-001310</t>
  </si>
  <si>
    <t>Кондиціонер, Чернігів, Красносільського,59 1/1</t>
  </si>
  <si>
    <t>00-001504</t>
  </si>
  <si>
    <t>Кондиціонер, Чернігів, Л.Лукяненка,41 1/1</t>
  </si>
  <si>
    <t>00-001606</t>
  </si>
  <si>
    <t>Кондиціонер, Чернігів, Льотна 1/1</t>
  </si>
  <si>
    <t>00-001469</t>
  </si>
  <si>
    <t>Кондиціонер, Чернігів, Миру,253 1/1</t>
  </si>
  <si>
    <t>00-001551</t>
  </si>
  <si>
    <t>Кондиціонер, Чернігів,Ринкова 1/1</t>
  </si>
  <si>
    <t>00-002554</t>
  </si>
  <si>
    <t>Купол великий (нержавіюча сталь) 1/2</t>
  </si>
  <si>
    <t>Купол великий (нержавіюча сталь)</t>
  </si>
  <si>
    <t>00-002555</t>
  </si>
  <si>
    <t>Купол великий (нержавіюча сталь) 2/2</t>
  </si>
  <si>
    <t>00-002553</t>
  </si>
  <si>
    <t>Купол малий (нержавіюча сталь)</t>
  </si>
  <si>
    <t>00-001194</t>
  </si>
  <si>
    <t>Маршрутизатор MIKROTIK, Чернігів, склад, Інструментальна 1/1</t>
  </si>
  <si>
    <t>Маршрутизатор MikroTik</t>
  </si>
  <si>
    <t>00-001609</t>
  </si>
  <si>
    <t>Мийка нержавійка, Чернігів, Льотна 1/1</t>
  </si>
  <si>
    <t>Мийки з нержавіючої сталі</t>
  </si>
  <si>
    <t>00-001398</t>
  </si>
  <si>
    <t>Мийка нержавійка, Чернігів, Миру,201 1/1</t>
  </si>
  <si>
    <t>00-001399</t>
  </si>
  <si>
    <t>Мийка нержавійка, Чернігів, Миру,201 1/2</t>
  </si>
  <si>
    <t>00-001400</t>
  </si>
  <si>
    <t>Мийка нержавійка, Чернігів, Миру,201 1/3</t>
  </si>
  <si>
    <t>00-001574</t>
  </si>
  <si>
    <t>Мийка нержавійка, Чернігів, Миру,201 1/5</t>
  </si>
  <si>
    <t>Подаємо списком; у разі запиту від замовника отримуємо фото зі складу. Примітка: зі змішувачем (40\*40)</t>
  </si>
  <si>
    <t>00-001440</t>
  </si>
  <si>
    <t>Мікрохвильова піч, Чернігів-Сосниця, Чернігівська 1/1</t>
  </si>
  <si>
    <t>Мікрохвильові печі</t>
  </si>
  <si>
    <t>00-001565</t>
  </si>
  <si>
    <t>Мікрохвильова піч, Чернігів, Всіхсвятська,3 1/1</t>
  </si>
  <si>
    <t>Можемо подати на ОЛХ. Примітка: задвоений номер (Стіл нержавійка)</t>
  </si>
  <si>
    <t>00-001455</t>
  </si>
  <si>
    <t>Мікрохвильова піч, Чернігів, Грушевського 1/1</t>
  </si>
  <si>
    <t>00-001690</t>
  </si>
  <si>
    <t>Морозильна скриня (1,0м) , Чернігів, (Всіхсвятська, 1) 1/1</t>
  </si>
  <si>
    <t>Морозильні скрині різних розмірів</t>
  </si>
  <si>
    <t>00-001624</t>
  </si>
  <si>
    <t>Морозильна скриня (1,0м) 90\*120\*66, Чернігів, Мазепи,55 1/1</t>
  </si>
  <si>
    <t>00-001555</t>
  </si>
  <si>
    <t>Морозильна скриня (1,0м), Чернігів,Всіхсвятська,3 1/1</t>
  </si>
  <si>
    <t>00-001550</t>
  </si>
  <si>
    <t>Морозильна скриня (1,0м), Чернігів,Ринкова 1/1</t>
  </si>
  <si>
    <t>00-001632</t>
  </si>
  <si>
    <t>Морозильна скриня (1,2м) , Чернігів-гурт, Ріпкінська,4 1/1</t>
  </si>
  <si>
    <t>00-001473</t>
  </si>
  <si>
    <t>Морозильна скриня (1,2м) 92\*123\*64, Чернігів, Пятницька 1/1</t>
  </si>
  <si>
    <t>00-001303</t>
  </si>
  <si>
    <t>Морозильна скриня (1,2м), Чернігів-Городня, 1Травня,19б 1/1</t>
  </si>
  <si>
    <t>00-001299</t>
  </si>
  <si>
    <t>Морозильна скриня (1,2м), Чернігів-Носівка, Центральна,16 1/1</t>
  </si>
  <si>
    <t>00-001536</t>
  </si>
  <si>
    <t>Морозильна скриня (1,2м), Чернігів-Прилуки,Київська 1/1</t>
  </si>
  <si>
    <t>00-001326</t>
  </si>
  <si>
    <t>Морозильна скриня (1,2м), Чернігів, Гвард.Армії,37 1/1</t>
  </si>
  <si>
    <t>00-001427</t>
  </si>
  <si>
    <t>Морозильна скриня (1,2м), Чернігів, Миру,201 1/2</t>
  </si>
  <si>
    <t>00-001593</t>
  </si>
  <si>
    <t>Морозильна скриня (1,2м), Чернігів, Миру,203 1/1</t>
  </si>
  <si>
    <t>00-001357</t>
  </si>
  <si>
    <t>Морозильна скриня (1,3м) 90\*126\*60, Чернігів-Сосниця, Виноградського 1/1</t>
  </si>
  <si>
    <t>Поки що не подаємо — позиція в резерві / є внутрішній запит.</t>
  </si>
  <si>
    <t>00-001358</t>
  </si>
  <si>
    <t>Морозильна скриня (1,3м) 90\*128\*60, Чернігів-Сосниця, Виноградського 1/2</t>
  </si>
  <si>
    <t>00-001451</t>
  </si>
  <si>
    <t>Морозильна скриня (1,5м) 92\*145\*70, Чернігів, Грушевського 1/2</t>
  </si>
  <si>
    <t>00-001604</t>
  </si>
  <si>
    <t>Морозильна скриня (1,5м) 92\*164\*94, Чернігів, Льотна 1/1</t>
  </si>
  <si>
    <t>00-001489</t>
  </si>
  <si>
    <t>Морозильна скриня (1,5м), Київ-Бобровиця, Незалежності 1/1</t>
  </si>
  <si>
    <t>00-001510</t>
  </si>
  <si>
    <t>Морозильна скриня (1,5м), Чернігів-Мена, Шевченка,1 1/1</t>
  </si>
  <si>
    <t>00-001374</t>
  </si>
  <si>
    <t>Морозильна скриня (1,5м), Чернігів, Всіхсвятська,3б 1/1</t>
  </si>
  <si>
    <t>00-001375</t>
  </si>
  <si>
    <t>Морозильна скриня (1,5м), Чернігів, Всіхсвятська,3б 1/2</t>
  </si>
  <si>
    <t>00-001391</t>
  </si>
  <si>
    <t>Морозильна скриня (1,5м), Чернігів, Миру,201 1/1</t>
  </si>
  <si>
    <t>00-001392</t>
  </si>
  <si>
    <t>Морозильна скриня (1,5м), Чернігів, Миру,201 1/2</t>
  </si>
  <si>
    <t>00-001651</t>
  </si>
  <si>
    <t>Морозильна скриня 600 80\*65\*164, Київ-Березань, Шевченків Шлях 1/2 МХП</t>
  </si>
  <si>
    <t>00-001630</t>
  </si>
  <si>
    <t>Морозильна скриня Langnese - IGLO GMBH 251812</t>
  </si>
  <si>
    <t>Морозильна скриня Langnese IGLO GMBH</t>
  </si>
  <si>
    <t>00-001418</t>
  </si>
  <si>
    <t>Пароконвектомат, Чернігів, Миру,201 1/1</t>
  </si>
  <si>
    <t>Професійний пароконвектомат</t>
  </si>
  <si>
    <t>00-002479</t>
  </si>
  <si>
    <t>Підвісний збірний потолок на 300 панелей</t>
  </si>
  <si>
    <t>00-001429</t>
  </si>
  <si>
    <t>Підставка під пароконвектомат, Чернігів, Миру,201 1/1</t>
  </si>
  <si>
    <t>Підставка під пароконвектомат</t>
  </si>
  <si>
    <t>Можемо подати на ОЛХ. Примітка: по факту стіл з ванною мийкою</t>
  </si>
  <si>
    <t>00-001442</t>
  </si>
  <si>
    <t>Піч для піци, Чернігів-Сосниця, Чернігівська 1/1</t>
  </si>
  <si>
    <t>Професійні печі для піци</t>
  </si>
  <si>
    <t>00-001454</t>
  </si>
  <si>
    <t>Піч для піци, Чернігів, Грушевського 1/1</t>
  </si>
  <si>
    <t>00-001566</t>
  </si>
  <si>
    <t>Піч для піци, Чернігів,Всіхсвятська,3 1/1</t>
  </si>
  <si>
    <t>00-001575</t>
  </si>
  <si>
    <t>Піч для піци, Чернігів,Миру,201 1/1</t>
  </si>
  <si>
    <t>00-002472</t>
  </si>
  <si>
    <t>Піч мікрохвильова Candy НР039 Чернігів</t>
  </si>
  <si>
    <t>00-001817</t>
  </si>
  <si>
    <t>Принтер для чеків адмін 1</t>
  </si>
  <si>
    <t>Принтер для друку чеків</t>
  </si>
  <si>
    <t>00-001819</t>
  </si>
  <si>
    <t>Принтер для чеків адмін 3</t>
  </si>
  <si>
    <t>00-001818</t>
  </si>
  <si>
    <t>Принтер для чеків+модем, адмін 2</t>
  </si>
  <si>
    <t>00-001145</t>
  </si>
  <si>
    <t>Роутер ERGO W023-CRC9 3G/4G USB Wi-Fi, Чернігів-Прилуки, Київська 1/1</t>
  </si>
  <si>
    <t>4G USB Wi‑Fi роутер ERGO W023-CRC9</t>
  </si>
  <si>
    <t>https://www.olx.ua/d/uk/obyavlenie/4g-usb-wi-fi-router-ergo-w023-crc9-wifi4-150mbt-s-sim-karta-crc9-ID11bIeH.html?search_reason=search%7Corganic</t>
  </si>
  <si>
    <t>00-001196</t>
  </si>
  <si>
    <t>Роутер ERGO W023-CRC9 3G/4G USB Wi-Fi, Чернігів,склад, Інструментальна 1/1</t>
  </si>
  <si>
    <t>00-001569</t>
  </si>
  <si>
    <t>Саладетта, Чернігів,Всіхсвятська,3 1/1</t>
  </si>
  <si>
    <t>Професійна холодильна саладета</t>
  </si>
  <si>
    <t>00-001578</t>
  </si>
  <si>
    <t>Саладетта, Чернігів,Миру,201 1/1</t>
  </si>
  <si>
    <t>00-001422</t>
  </si>
  <si>
    <t>Слайсер, Чернігів, Миру,201 1/1</t>
  </si>
  <si>
    <t>Слайсер</t>
  </si>
  <si>
    <t>00-002485</t>
  </si>
  <si>
    <t>Спліт система холодильних камер НР001 Славутич- не працює</t>
  </si>
  <si>
    <t>00-001605</t>
  </si>
  <si>
    <t>Стелаж, Чернігів, Льотна 1/1</t>
  </si>
  <si>
    <t>Стелажі торгові та складські</t>
  </si>
  <si>
    <t>00-002498</t>
  </si>
  <si>
    <t>Стелажі зі стійками розібрані (79 шт+16 стійок)</t>
  </si>
  <si>
    <t>Подаємо списком; у разі запиту від замовника отримуємо фото зі складу. Примітка: 27 стійок</t>
  </si>
  <si>
    <t>00-001556</t>
  </si>
  <si>
    <t>Стіл з ванною мийкою, Чернігів, Всіхсвятська,3 1/1</t>
  </si>
  <si>
    <t>Стіл з мийною ванною з нержавіючої сталі</t>
  </si>
  <si>
    <t>00-002460</t>
  </si>
  <si>
    <t>Стіл нержавійка 0,65\*1,7\*0,95 Чернігів Ріпкінська 4</t>
  </si>
  <si>
    <t>Столи з нержавіючої сталі різних розмірів</t>
  </si>
  <si>
    <t>Можемо подати на ОЛХ. Примітка: по факту 1458 (120\*82\*80) стіл з ванною мийкою</t>
  </si>
  <si>
    <t>00-002456</t>
  </si>
  <si>
    <t>Стіл нержавійка 1,0\*1,0\*0,95 Чернігів Ріпкінська 4</t>
  </si>
  <si>
    <t>Подаємо списком; у разі запиту від замовника отримуємо фото зі складу. Примітка: немає наліпки</t>
  </si>
  <si>
    <t>00-001563</t>
  </si>
  <si>
    <t>Стіл нержавійка, Чернігів, Всіхсвятська,3 1/1</t>
  </si>
  <si>
    <t>00-001460</t>
  </si>
  <si>
    <t>Стіл нержавійка, Чернігів, Грушевського 1/1</t>
  </si>
  <si>
    <t>00-001461</t>
  </si>
  <si>
    <t>Стіл нержавійка, Чернігів, Грушевського 1/2</t>
  </si>
  <si>
    <t>00-001462</t>
  </si>
  <si>
    <t>Стіл нержавійка, Чернігів, Грушевського 1/3</t>
  </si>
  <si>
    <t>Фактична наявність не підтверджена — поки що не подаємо. Примітка: 1565</t>
  </si>
  <si>
    <t>00-001411</t>
  </si>
  <si>
    <t>Стіл нержавійка, Чернігів, Миру,201 1/10</t>
  </si>
  <si>
    <t>00-001412</t>
  </si>
  <si>
    <t>Стіл нержавійка, Чернігів, Миру,201 1/11</t>
  </si>
  <si>
    <t>00-001413</t>
  </si>
  <si>
    <t>Стіл нержавійка, Чернігів, Миру,201 1/12</t>
  </si>
  <si>
    <t>00-001414</t>
  </si>
  <si>
    <t>Стіл нержавійка, Чернігів, Миру,201 1/13</t>
  </si>
  <si>
    <t>00-001415</t>
  </si>
  <si>
    <t>Стіл нержавійка, Чернігів, Миру,201 1/14</t>
  </si>
  <si>
    <t>00-001416</t>
  </si>
  <si>
    <t>Стіл нержавійка, Чернігів, Миру,201 1/15</t>
  </si>
  <si>
    <t>00-001417</t>
  </si>
  <si>
    <t>Стіл нержавійка, Чернігів, Миру,201 1/16</t>
  </si>
  <si>
    <t>00-001562</t>
  </si>
  <si>
    <t>Стіл сомельє, Чернігів, Всіхсвятська,3 1/1</t>
  </si>
  <si>
    <t>Стіл сомельє</t>
  </si>
  <si>
    <t>00-001144</t>
  </si>
  <si>
    <t>Точка доступу Mikrotik RB951Ui-2HnD, Чернігів-Прилуки, Київська 1/1</t>
  </si>
  <si>
    <t>Точка доступу MikroTik RB951Ui-2HnD</t>
  </si>
  <si>
    <t>https://www.olx.ua/d/uk/obyavlenie/wi-fi-router-mikrotik-rb951ui-2hnd-ID10Dkkt.html?search_reason=search%7Cpromoted</t>
  </si>
  <si>
    <t>00-002453</t>
  </si>
  <si>
    <t>Тумба під сумки 0,3\*0,4\*0,6 НР024 Чернігів/1</t>
  </si>
  <si>
    <t>Тумба для сумок</t>
  </si>
  <si>
    <t>00-002455</t>
  </si>
  <si>
    <t>Тумба під сумки 0,3\*0,4\*0,6 НР024 Чернігів/2</t>
  </si>
  <si>
    <t>00-001568</t>
  </si>
  <si>
    <t>Фритюрниця, Чернігів,Всіхсвятська,3 1/1</t>
  </si>
  <si>
    <t>Професійна електрична фритюрниця</t>
  </si>
  <si>
    <t>00-001577</t>
  </si>
  <si>
    <t>Фритюрниця, Чернігів,Миру,201 1/1</t>
  </si>
  <si>
    <t>00-001590</t>
  </si>
  <si>
    <t>Холодильна вітрина 1 (1,0м), Чернігів, Миру,203 1/1</t>
  </si>
  <si>
    <t>Холодильні вітрини різних розмірів</t>
  </si>
  <si>
    <t>00-001591</t>
  </si>
  <si>
    <t>Холодильна вітрина 1 (1,0м), Чернігів, Миру,203 1/2</t>
  </si>
  <si>
    <t>00-001596</t>
  </si>
  <si>
    <t>Холодильна вітрина 1 (1,2м) 129\*120\*95, Чернігів-Ріпки, Святомиколаївська 1/2</t>
  </si>
  <si>
    <t>00-001689</t>
  </si>
  <si>
    <t>Холодильна вітрина 1 (1,3м), Чернігів, (Всіхсвятська,1) 1/1</t>
  </si>
  <si>
    <t>00-001589</t>
  </si>
  <si>
    <t>Холодильна вітрина 1 (1,3м), Чернігів, Миру,203 1/1</t>
  </si>
  <si>
    <t>00-001600</t>
  </si>
  <si>
    <t>Холодильна вітрина 1 (1,5м) 127\*158\*98, Чернігів, Льотна 1/1</t>
  </si>
  <si>
    <t>00-001601</t>
  </si>
  <si>
    <t>Холодильна вітрина 1 (1,5м) 127\*158\*98, Чернігів, Льотна 1/2</t>
  </si>
  <si>
    <t>00-001602</t>
  </si>
  <si>
    <t>Холодильна вітрина 1 (1,5м) 127\*158\*98, Чернігів, Льотна 1/3</t>
  </si>
  <si>
    <t>00-001463</t>
  </si>
  <si>
    <t>Холодильна вітрина 1 (1,5м) 127\*165\*115, Чернігів, Миру,253 1/1</t>
  </si>
  <si>
    <t>00-001485</t>
  </si>
  <si>
    <t>Холодильна вітрина 1 (1,5м), Київ-Бобровиця, Незалежності 1/1</t>
  </si>
  <si>
    <t>00-001388</t>
  </si>
  <si>
    <t>Холодильна вітрина 1 (1,5м), Чернігів, Миру,201 1/5</t>
  </si>
  <si>
    <t>00-002451</t>
  </si>
  <si>
    <t>Холодильна вітрина 1,3 Айстермо Хладон R 130х91х107</t>
  </si>
  <si>
    <t>00-002452</t>
  </si>
  <si>
    <t>Холодильна вітрина 1,3 Хладон R 130х91х107</t>
  </si>
  <si>
    <t>00-002449</t>
  </si>
  <si>
    <t>Холодильна вітрина 1,6 Хладон R 160х90х107</t>
  </si>
  <si>
    <t>00-001344</t>
  </si>
  <si>
    <t>Холодильна вітрина 2 (1,3м), Чернігів-Славутич, кв.Поліський,3 1/1</t>
  </si>
  <si>
    <t>00-001307</t>
  </si>
  <si>
    <t>Холодильна вітрина 2 (1м), Чернігів, Красносільського,59 1/1</t>
  </si>
  <si>
    <t>00-001347</t>
  </si>
  <si>
    <t>Холодильна кімната, Чернігів-Славутич, кв.Поліський,3 1/1</t>
  </si>
  <si>
    <t>Холодильна кімната</t>
  </si>
  <si>
    <t>Фактична наявність не підтверджена — поки що не подаємо. Примітка: не списали. Залишились тільки профлисти</t>
  </si>
  <si>
    <t>00-001553</t>
  </si>
  <si>
    <t>Холодильна шафа (0,68м), Чернігів, Всіхсвятська,3 1/1</t>
  </si>
  <si>
    <t>Холодильні шафи різних розмірів</t>
  </si>
  <si>
    <t>00-001549</t>
  </si>
  <si>
    <t>Холодильна шафа (0,8м) 210\*68\*60, Чернігів,Ринкова 1/1</t>
  </si>
  <si>
    <t>00-001298</t>
  </si>
  <si>
    <t>Холодильна шафа (1,2м), Чернігів-Носівка, Центральна,16 1/1</t>
  </si>
  <si>
    <t>00-001535</t>
  </si>
  <si>
    <t>Холодильна шафа (1,2м), Чернігів-Прилуки,Київська 1/1</t>
  </si>
  <si>
    <t>00-001495</t>
  </si>
  <si>
    <t>Холодильна шафа (1,5м), Чернігів-Ічня, Героїв Майдану,5г 1/1</t>
  </si>
  <si>
    <t>00-001603</t>
  </si>
  <si>
    <t>Холодильна шафа (1,6м) 194\*159\*51, Чернігів, Льотна 1/1</t>
  </si>
  <si>
    <t>00-001356</t>
  </si>
  <si>
    <t>Холодильна шафа (1,8м) 130\*73\*42, Чернігів-Сосниця, Виноградського 1/1</t>
  </si>
  <si>
    <t>00-001481</t>
  </si>
  <si>
    <t>Холодильна шафа (1,8м) 160\*68\*50, Чернігів-Городня, Петрівського 1/1</t>
  </si>
  <si>
    <t>00-001509</t>
  </si>
  <si>
    <t>Холодильна шафа (1,8м) 80\*65\*37, Чернігів-Мена, Шевченка,1 1/1</t>
  </si>
  <si>
    <t>00-001290</t>
  </si>
  <si>
    <t>Холодильна шафа (1,8м), Чернігів, Всіхсвятська 3АІ-1 1/1</t>
  </si>
  <si>
    <t>Подаємо списком; у разі запиту від замовника отримуємо фото зі складу. Примітка: по факту 1390</t>
  </si>
  <si>
    <t>00-001325</t>
  </si>
  <si>
    <t>Холодильна шафа (1,8м), Чернігів, Гвард.Армії,37 1/1</t>
  </si>
  <si>
    <t>00-001320</t>
  </si>
  <si>
    <t>Холодильна шафа (1,8м), Чернігів, Дніпровська,4 1/1</t>
  </si>
  <si>
    <t>00-001302</t>
  </si>
  <si>
    <t>Холодильна шафа (1м) 195\*79\*70, Чернігів-Городня, 1травня,19б 1/1</t>
  </si>
  <si>
    <t>00-001376</t>
  </si>
  <si>
    <t>Холодильна шафа (1м), Чернігів, Всіхсвятська,3б 1/1</t>
  </si>
  <si>
    <t>00-001314</t>
  </si>
  <si>
    <t>Холодильна шафа (1м), Чернігів, Космонавтів,2 1/1</t>
  </si>
  <si>
    <t>Подаємо списком; у разі запиту від замовника отримуємо фото зі складу. Примітка: без наліпок з номером</t>
  </si>
  <si>
    <t>00-001631</t>
  </si>
  <si>
    <t>Холодильна шафа дводверна 130х250х75</t>
  </si>
  <si>
    <t>Подаємо списком; у разі запиту від замовника отримуємо фото зі складу. Примітка: по факту 1654</t>
  </si>
  <si>
    <t>00-002578</t>
  </si>
  <si>
    <t>Холодильний агрегат (внутрішній)</t>
  </si>
  <si>
    <t>Холодильний агрегат</t>
  </si>
  <si>
    <t>00-001607</t>
  </si>
  <si>
    <t>Шафа для одягу 195\*50\*52, Чернігів, Льотна 1/1</t>
  </si>
  <si>
    <t>Шафа для одягу</t>
  </si>
  <si>
    <t>00-001147</t>
  </si>
  <si>
    <t>Шафа удароміцна з ABS-пластика 350х250х150мм,Чернігів-Прилуки, Київська 1/1</t>
  </si>
  <si>
    <t>Удароміцна шафа з ABS-пластику 350×250×150 мм</t>
  </si>
  <si>
    <t>00-001128</t>
  </si>
  <si>
    <t>Шафа удароміцна з ABS-пластика 350х250х150мм,Чернігів, Пятницька 1/1</t>
  </si>
  <si>
    <t>00-001193</t>
  </si>
  <si>
    <t>Шафа удароміцна з ABS-пластика 350х250х150мм,Чернігів, склад, Інструментальна 1/1</t>
  </si>
  <si>
    <t>00-001419</t>
  </si>
  <si>
    <t>Шпилька для деко, Чернігів, Миру,201 1/1</t>
  </si>
  <si>
    <t>Шпилька-візок для деко</t>
  </si>
  <si>
    <t>00-002494</t>
  </si>
  <si>
    <t>Шпилька для деко, Чернігів, Миру,201 1/2</t>
  </si>
  <si>
    <t>00-002434</t>
  </si>
  <si>
    <t>Штендер Чернігів Ріпки</t>
  </si>
  <si>
    <t>Штендер</t>
  </si>
  <si>
    <t>00-00004430</t>
  </si>
  <si>
    <t>LED світильник LEBRON L-T5-PL, 16W, 4100K чорний</t>
  </si>
  <si>
    <t>00-00004850</t>
  </si>
  <si>
    <t>Ваги підлогові</t>
  </si>
  <si>
    <t>Підлогові ваги</t>
  </si>
  <si>
    <t>00-00003960</t>
  </si>
  <si>
    <t>Вентилятор підлоговий Underprice 1615G -40 см.сірий</t>
  </si>
  <si>
    <t>00-00004843</t>
  </si>
  <si>
    <t>Вітрина холодильна 1,33\*1,2 МХП</t>
  </si>
  <si>
    <t>Можемо подати на ОЛХ. Примітка: розкомплектовані</t>
  </si>
  <si>
    <t>00-00004853</t>
  </si>
  <si>
    <t>Вітрина холодильна 1,35 х 1,1 НОРД МХП</t>
  </si>
  <si>
    <t>00-00004855</t>
  </si>
  <si>
    <t>Вітрина холодильна 1,6\*1,2 МХП</t>
  </si>
  <si>
    <t>00-00003045</t>
  </si>
  <si>
    <t>Гастроємність 1/2 3,8л</t>
  </si>
  <si>
    <t>Гастроємності різних розмірів</t>
  </si>
  <si>
    <t>00-00005070</t>
  </si>
  <si>
    <t>Гастроємність нерж. 1/1 (32\*53\*7)</t>
  </si>
  <si>
    <t>00-00005054</t>
  </si>
  <si>
    <t>Гастроємність нерж. 1/2 (26\*32\*7)</t>
  </si>
  <si>
    <t>Можемо подати на ОЛХ. Примітка: 27.5\*32</t>
  </si>
  <si>
    <t>00-00005055</t>
  </si>
  <si>
    <t>Гастроємність нерж. 1/3 (18\*32\*7)</t>
  </si>
  <si>
    <t>00-00005108</t>
  </si>
  <si>
    <t>Гастроємність нерж. 1/4 (26\*16\*7)</t>
  </si>
  <si>
    <t>00-00005342</t>
  </si>
  <si>
    <t>Гастроємність нерж. 30\*15</t>
  </si>
  <si>
    <t>00-00005341</t>
  </si>
  <si>
    <t>Гастроємність нерж. 60\*30</t>
  </si>
  <si>
    <t>00-00005340</t>
  </si>
  <si>
    <t>Гастроємність нерж. 70\*30</t>
  </si>
  <si>
    <t>00-00000032</t>
  </si>
  <si>
    <t>Гастроємність нержавійка середня</t>
  </si>
  <si>
    <t>00-00005141</t>
  </si>
  <si>
    <t>Гастроємність під свинину 90\*45</t>
  </si>
  <si>
    <t>00-00005193</t>
  </si>
  <si>
    <t>Гастроємність під фарш 43\*23\*10</t>
  </si>
  <si>
    <t>00-00005175</t>
  </si>
  <si>
    <t>Гастроємність пласт. 1/2 (26\*32\*7)</t>
  </si>
  <si>
    <t>00-00000056</t>
  </si>
  <si>
    <t>Гастроємність середня (чорний пластик)</t>
  </si>
  <si>
    <t>00-00003750</t>
  </si>
  <si>
    <t>Драбина сталева Aloft SLIM 6 сходинок, посилена 150 кг (DRSLM-06)</t>
  </si>
  <si>
    <t>Подаємо списком; у разі запиту від замовника отримуємо фото зі складу. Примітка: відсутня наліпка з номером</t>
  </si>
  <si>
    <t>00-00005056</t>
  </si>
  <si>
    <t>Зарядний пристрій ARMER</t>
  </si>
  <si>
    <t>00-00005077</t>
  </si>
  <si>
    <t>Каністра для палива</t>
  </si>
  <si>
    <t>00-00005408</t>
  </si>
  <si>
    <t>Каністра пластикова для ПММ Bi-Plast 10 л.</t>
  </si>
  <si>
    <t>Подаємо списком; у разі запиту від замовника отримуємо фото зі складу. Примітка: в машині у Бондаренко Ніни</t>
  </si>
  <si>
    <t>00-00003598</t>
  </si>
  <si>
    <t>Каністра пластикова для ПММ Bi-Plast 20 л.</t>
  </si>
  <si>
    <t>00-00005396</t>
  </si>
  <si>
    <t>Комплект з’єднувальних труб</t>
  </si>
  <si>
    <t>Подаємо списком; у разі запиту від замовника отримуємо фото зі складу. Примітка: 2 шт по 4 м</t>
  </si>
  <si>
    <t>00-00005058</t>
  </si>
  <si>
    <t>Конвектор PH-80</t>
  </si>
  <si>
    <t>00-00004849</t>
  </si>
  <si>
    <t>Кондиціонер МХП</t>
  </si>
  <si>
    <t>00-00005080</t>
  </si>
  <si>
    <t>Короб Легко для бренд.ларя</t>
  </si>
  <si>
    <t>00-00005059</t>
  </si>
  <si>
    <t>Короб прозорий для н/ф</t>
  </si>
  <si>
    <t>00-00005182</t>
  </si>
  <si>
    <t>Лампа УФО</t>
  </si>
  <si>
    <t>Можемо подати на ОЛХ. Примітка: по факту 3458</t>
  </si>
  <si>
    <t>00-00004856</t>
  </si>
  <si>
    <t>Лар морозильний 1,45\*0,65 МХП</t>
  </si>
  <si>
    <t>00-00005081</t>
  </si>
  <si>
    <t>Ложка для кулінарї</t>
  </si>
  <si>
    <t>00-00005082</t>
  </si>
  <si>
    <t>Лопата снігоприбиральна</t>
  </si>
  <si>
    <t>00-00005083</t>
  </si>
  <si>
    <t>Лопатка для кулінаріі</t>
  </si>
  <si>
    <t>00-00005332</t>
  </si>
  <si>
    <t>Лопатка для піци</t>
  </si>
  <si>
    <t>00-00004860</t>
  </si>
  <si>
    <t>М'ясорубка</t>
  </si>
  <si>
    <t>Професійна м'ясорубка</t>
  </si>
  <si>
    <t>00-00003426</t>
  </si>
  <si>
    <t>Масляний обігрівач Nikura NY-C3-7-7секцій 1500W білий</t>
  </si>
  <si>
    <t>00-00005180</t>
  </si>
  <si>
    <t>Мийка</t>
  </si>
  <si>
    <t>00-00002281</t>
  </si>
  <si>
    <t>Ніж для піци</t>
  </si>
  <si>
    <t>00-00003498</t>
  </si>
  <si>
    <t>Обігрівач</t>
  </si>
  <si>
    <t>00-00005463</t>
  </si>
  <si>
    <t>Обігрівач керамічний</t>
  </si>
  <si>
    <t>00-00005466</t>
  </si>
  <si>
    <t>Обігрівач масляний</t>
  </si>
  <si>
    <t>00-00004004</t>
  </si>
  <si>
    <t>Подовжувач НР035</t>
  </si>
  <si>
    <t>00-00002247</t>
  </si>
  <si>
    <t>00-00003904</t>
  </si>
  <si>
    <t>Принтер для чеків+модем</t>
  </si>
  <si>
    <t>00-00005328</t>
  </si>
  <si>
    <t>Світильник (зелений плафон)</t>
  </si>
  <si>
    <t>Можемо подати на ОЛХ. Примітка: 11 зелених, 14 жовтих</t>
  </si>
  <si>
    <t>00-00003961</t>
  </si>
  <si>
    <t>Світильник для знищення комах LED 2 Вт</t>
  </si>
  <si>
    <t>00-00005331</t>
  </si>
  <si>
    <t>Світильник лінійний 0,9</t>
  </si>
  <si>
    <t>00-00005330</t>
  </si>
  <si>
    <t>Світильник лінійний 1,2</t>
  </si>
  <si>
    <t>00-00005325</t>
  </si>
  <si>
    <t>Сейф</t>
  </si>
  <si>
    <t>00-00005196</t>
  </si>
  <si>
    <t>Сходинки під ковбасу</t>
  </si>
  <si>
    <t>00-00003427</t>
  </si>
  <si>
    <t>Тепловентилятор Interlux INF-010</t>
  </si>
  <si>
    <t>00-00004861</t>
  </si>
  <si>
    <t>Тістоміс</t>
  </si>
  <si>
    <t>Професійний тістоміс</t>
  </si>
  <si>
    <t>00-00003114</t>
  </si>
  <si>
    <t>Щипці кулінарні металеві</t>
  </si>
  <si>
    <t>Фактична наявність не підтверджена — поки що не подаємо. Примітка: не рахував</t>
  </si>
  <si>
    <t>00-00005327</t>
  </si>
  <si>
    <t>Щит «Наша Ряба» настінний</t>
  </si>
  <si>
    <t>00-00002130</t>
  </si>
  <si>
    <t>Ящик 1,8</t>
  </si>
  <si>
    <t>00-00004298</t>
  </si>
  <si>
    <t>Ящик 600\*400\*160/120 перф.</t>
  </si>
  <si>
    <t>Ящик 600×400×160/120 перф.</t>
  </si>
  <si>
    <t>№</t>
  </si>
  <si>
    <t>Найменування</t>
  </si>
  <si>
    <t>Інв.номер</t>
  </si>
  <si>
    <t>Кількість за обліковими даними</t>
  </si>
  <si>
    <t>Кількість Фактична наявність</t>
  </si>
  <si>
    <t>Розбіжність кількість</t>
  </si>
  <si>
    <t>Залишкова вартість</t>
  </si>
  <si>
    <t>Примітки</t>
  </si>
  <si>
    <t>Фото</t>
  </si>
  <si>
    <t>К-сть фото</t>
  </si>
  <si>
    <t>Статус фото</t>
  </si>
  <si>
    <t>Ціна нового обладнання, грн</t>
  </si>
  <si>
    <t>Посилання на нове обладнання</t>
  </si>
  <si>
    <t>Ціна OLX, б/у, грн</t>
  </si>
  <si>
    <t>Посилання OLX, б/у</t>
  </si>
  <si>
    <t>1</t>
  </si>
  <si>
    <t>26 250,00</t>
  </si>
  <si>
    <t>[Відкрити фото](#'00-002488'!A1)</t>
  </si>
  <si>
    <t>2</t>
  </si>
  <si>
    <t>Додано — Блок 1</t>
  </si>
  <si>
    <t>132 280,00</t>
  </si>
  <si>
    <t>https://prom.ua/ua/p2988969613-vakuumnaya-upakovochnaya-mashina.html</t>
  </si>
  <si>
    <t>0,00</t>
  </si>
  <si>
    <t>0,88</t>
  </si>
  <si>
    <t>2117</t>
  </si>
  <si>
    <t>0</t>
  </si>
  <si>
    <t>Фото не зіставлено</t>
  </si>
  <si>
    <t>3</t>
  </si>
  <si>
    <t>2118</t>
  </si>
  <si>
    <t>4</t>
  </si>
  <si>
    <t>4 211,61</t>
  </si>
  <si>
    <t>[Відкрити фото](#'00-001203'!A1)</t>
  </si>
  <si>
    <t>5</t>
  </si>
  <si>
    <t>3 989,94</t>
  </si>
  <si>
    <t>[Відкрити фото](#'00-001210'!A1)</t>
  </si>
  <si>
    <t>6</t>
  </si>
  <si>
    <t>[Відкрити фото](#'00-001218'!A1)</t>
  </si>
  <si>
    <t>7</t>
  </si>
  <si>
    <t>[Відкрити фото](#'00-001220'!A1)</t>
  </si>
  <si>
    <t>8</t>
  </si>
  <si>
    <t>3 000,05</t>
  </si>
  <si>
    <t>9</t>
  </si>
  <si>
    <t>8 625,05</t>
  </si>
  <si>
    <t>[Відкрити фото](#'00-001572'!A1)</t>
  </si>
  <si>
    <t>10</t>
  </si>
  <si>
    <t>4 500,00</t>
  </si>
  <si>
    <t>[Відкрити фото](#'00-001557'!A1)</t>
  </si>
  <si>
    <t>11</t>
  </si>
  <si>
    <t>без наліпки з номером</t>
  </si>
  <si>
    <t>1560</t>
  </si>
  <si>
    <t>12</t>
  </si>
  <si>
    <t>2493</t>
  </si>
  <si>
    <t>13</t>
  </si>
  <si>
    <t>[Відкрити фото](#'00-001146'!A1)</t>
  </si>
  <si>
    <t>405,00</t>
  </si>
  <si>
    <t>https://prom.ua/ua/p2816071283-pfm320d-015-12v.html</t>
  </si>
  <si>
    <t>14</t>
  </si>
  <si>
    <t>1195</t>
  </si>
  <si>
    <t>16</t>
  </si>
  <si>
    <t>666,72</t>
  </si>
  <si>
    <t>[Відкрити фото](#'00-001608'!A1)</t>
  </si>
  <si>
    <t>6 500,00</t>
  </si>
  <si>
    <t>https://www\.santehservis.dp.ua/uk/bojler-eldom-style-30-slim-72269wg</t>
  </si>
  <si>
    <t>17</t>
  </si>
  <si>
    <t>6 508,29</t>
  </si>
  <si>
    <t>18</t>
  </si>
  <si>
    <t>4 666,61</t>
  </si>
  <si>
    <t>19</t>
  </si>
  <si>
    <t>4 000,00</t>
  </si>
  <si>
    <t>[Відкрити фото](#'00-001459'!A1)</t>
  </si>
  <si>
    <t>20</t>
  </si>
  <si>
    <t>[Відкрити фото](#'00-001470'!A1)</t>
  </si>
  <si>
    <t>21</t>
  </si>
  <si>
    <t>1939</t>
  </si>
  <si>
    <t>5 300,00</t>
  </si>
  <si>
    <t>https://prom.ua/ua/p110393783-vesy-torgovye-elektronnye.html</t>
  </si>
  <si>
    <t>1 000,00</t>
  </si>
  <si>
    <t>22</t>
  </si>
  <si>
    <t>без номера (була знята при передачі складу орендодавцю)</t>
  </si>
  <si>
    <t>2489</t>
  </si>
  <si>
    <t>5 355,00</t>
  </si>
  <si>
    <t>https://prom.ua/ua/m6078725216761370392-videokamera-dahua-ipc</t>
  </si>
  <si>
    <t>23</t>
  </si>
  <si>
    <t>без номера</t>
  </si>
  <si>
    <t>2490</t>
  </si>
  <si>
    <t>24</t>
  </si>
  <si>
    <t>[Відкрити фото](#'00-001276'!A1)</t>
  </si>
  <si>
    <t>14 330,00</t>
  </si>
  <si>
    <t>https://prom.ua/ua/p526090619-gidravlicheskaya-rokla-20001150.html</t>
  </si>
  <si>
    <t>7 000,00</t>
  </si>
  <si>
    <t>25</t>
  </si>
  <si>
    <t>1,00</t>
  </si>
  <si>
    <t>[Відкрити фото](#'00-002609'!A1)</t>
  </si>
  <si>
    <t>18 500,00</t>
  </si>
  <si>
    <t>https://ppmarka.com.ua/produktsiya/generatory/%D0%B3%D0%B5%D0%BD%D0%B5%D1%80%D0%B0%D1%82%D0%BE%D1%80-%D0%B1%D0%B5%D0%BD%D0%B7%D0%B8%D0%BD%D0%BE%D0%B2%D0%B8%D0%B9-%D0%BE%D0%B4%D0%BD%D0%BE%D1%84%D0%B0%D0%B7%D0%BD%D0%B8%D0%B9-32-%D0%BA%D0%B2%D1%82/</t>
  </si>
  <si>
    <t>26</t>
  </si>
  <si>
    <t>[Відкрити фото](#'00-002044'!A1)</t>
  </si>
  <si>
    <t>27</t>
  </si>
  <si>
    <t>2209</t>
  </si>
  <si>
    <t>28</t>
  </si>
  <si>
    <t>8 506,76</t>
  </si>
  <si>
    <t>[Відкрити фото](#'00-001270'!A1)</t>
  </si>
  <si>
    <t>65 210,00</t>
  </si>
  <si>
    <t>https://prom.ua/ua/p3057204415-generator-benzinovyj-230v.html</t>
  </si>
  <si>
    <t>29</t>
  </si>
  <si>
    <t>8 506,75</t>
  </si>
  <si>
    <t>1271</t>
  </si>
  <si>
    <t>30</t>
  </si>
  <si>
    <t>1274</t>
  </si>
  <si>
    <t>31</t>
  </si>
  <si>
    <t>[Відкрити фото](#'00-001272'!A1)</t>
  </si>
  <si>
    <t>32</t>
  </si>
  <si>
    <t>1261</t>
  </si>
  <si>
    <t>33</t>
  </si>
  <si>
    <t>1263</t>
  </si>
  <si>
    <t>34</t>
  </si>
  <si>
    <t>7 291,52</t>
  </si>
  <si>
    <t>[Відкрити фото](#'00-001266'!A1)</t>
  </si>
  <si>
    <t>35</t>
  </si>
  <si>
    <t>[Відкрити фото](#'00-001268'!A1)</t>
  </si>
  <si>
    <t>36</t>
  </si>
  <si>
    <t>3 749,95</t>
  </si>
  <si>
    <t>[Відкрити фото](#'00-001580'!A1)</t>
  </si>
  <si>
    <t>37</t>
  </si>
  <si>
    <t>1 416,72</t>
  </si>
  <si>
    <t>[Відкрити фото](#'00-001443'!A1)</t>
  </si>
  <si>
    <t>Додано — Блок 2</t>
  </si>
  <si>
    <t>38</t>
  </si>
  <si>
    <t>[Відкрити фото](#'00-001570'!A1)</t>
  </si>
  <si>
    <t>39</t>
  </si>
  <si>
    <t>[Відкрити фото](#'00-001579'!A1)</t>
  </si>
  <si>
    <t>40</t>
  </si>
  <si>
    <t>6 824,31</t>
  </si>
  <si>
    <t>[Відкрити фото](#'00-000175'!A1)</t>
  </si>
  <si>
    <t>35 200,00</t>
  </si>
  <si>
    <t>https://www\.kiy-v.com.ua/gril-dlja-kurej/gril-dlja-kur-jelektricheskij-kij-v-gk-6m</t>
  </si>
  <si>
    <t>21 000,00</t>
  </si>
  <si>
    <t>41</t>
  </si>
  <si>
    <t>[Відкрити фото](#'00-001456'!A1)</t>
  </si>
  <si>
    <t>13 905,00</t>
  </si>
  <si>
    <t>https://golospovara.com.ua/ua/gril-kontaktnyy-prizhimnoy-remta-r79-professionalnyy/</t>
  </si>
  <si>
    <t>3 500,00</t>
  </si>
  <si>
    <t>42</t>
  </si>
  <si>
    <t>[Відкрити фото](#'00-001457'!A1)</t>
  </si>
  <si>
    <t>43</t>
  </si>
  <si>
    <t>1 593,80</t>
  </si>
  <si>
    <t>[Відкрити фото](#'00-001567'!A1)</t>
  </si>
  <si>
    <t>3 200,00</t>
  </si>
  <si>
    <t>https://click.ua/ru/shop/gril-tefal-minute-grill-gc205012-p78420</t>
  </si>
  <si>
    <t>44</t>
  </si>
  <si>
    <t>[Відкрити фото](#'00-001576'!A1)</t>
  </si>
  <si>
    <t>2 600,00</t>
  </si>
  <si>
    <t>https://bt.rozetka.com.ua/ua/137762761/p137762761/</t>
  </si>
  <si>
    <t>45</t>
  </si>
  <si>
    <t>9 166,66</t>
  </si>
  <si>
    <t>9 531,00</t>
  </si>
  <si>
    <t>https://prom.ua/ua/p635550521-kanalnyj-ventilyator-vents.html</t>
  </si>
  <si>
    <t>46</t>
  </si>
  <si>
    <t>2124</t>
  </si>
  <si>
    <t>5 352,00</t>
  </si>
  <si>
    <t>https://e-ctr.com.ua/ua/energosnabzhenie/istochniki-bespereboynogo-pitaniya/ibp-s-pravil-noy-chistoy-sinusoidoy/istochnik-bespereboynogo-pitaniya-solarx-sx-le500t-lcd-500va</t>
  </si>
  <si>
    <t>47</t>
  </si>
  <si>
    <t>3 458,00</t>
  </si>
  <si>
    <t>[Відкрити фото](#'00-001202'!A1)</t>
  </si>
  <si>
    <t>9 000,00</t>
  </si>
  <si>
    <t>https://www\.bezpeka-shop.com/ua/product/invertor-full-energy-hb1512-1500va-1200vt-s-chistoy-sinusoidalnoy-volnoy/?srsltid=AfmBOoru9WfgRZLK4n_dwhPjyV2Rck-EzTyh-tr74IfBbhF-xhlyeuWp</t>
  </si>
  <si>
    <t>48</t>
  </si>
  <si>
    <t>3 276,00</t>
  </si>
  <si>
    <t>[Відкрити фото](#'00-001217'!A1)</t>
  </si>
  <si>
    <t>49</t>
  </si>
  <si>
    <t>1219</t>
  </si>
  <si>
    <t>50</t>
  </si>
  <si>
    <t>[Відкрити фото](#'00-001221'!A1)</t>
  </si>
  <si>
    <t>51</t>
  </si>
  <si>
    <t>продано СБ (Базилевич Дмитро)</t>
  </si>
  <si>
    <t>12 599,00</t>
  </si>
  <si>
    <t>https://prom.ua/ua/p1637573847-komplekt-ohrannoj-signalizatsii.html</t>
  </si>
  <si>
    <t>52</t>
  </si>
  <si>
    <t>919,00</t>
  </si>
  <si>
    <t>фактичний інв. номер 1184</t>
  </si>
  <si>
    <t>1049</t>
  </si>
  <si>
    <t>53</t>
  </si>
  <si>
    <t>2,00</t>
  </si>
  <si>
    <t>2579</t>
  </si>
  <si>
    <t>54</t>
  </si>
  <si>
    <t>0,84</t>
  </si>
  <si>
    <t>2450</t>
  </si>
  <si>
    <t>55</t>
  </si>
  <si>
    <t>2483</t>
  </si>
  <si>
    <t>56</t>
  </si>
  <si>
    <t>[Відкрити фото](#'00-001655'!A1)</t>
  </si>
  <si>
    <t>57</t>
  </si>
  <si>
    <t>[2484](#'2484'!A1)</t>
  </si>
  <si>
    <t>58</t>
  </si>
  <si>
    <t>2486</t>
  </si>
  <si>
    <t>59</t>
  </si>
  <si>
    <t>16 920,08</t>
  </si>
  <si>
    <t>[Відкрити фото](#'00-000461'!A1)</t>
  </si>
  <si>
    <t>60</t>
  </si>
  <si>
    <t>3 333,28</t>
  </si>
  <si>
    <t>[Відкрити фото](#'00-001490'!A1)</t>
  </si>
  <si>
    <t>61</t>
  </si>
  <si>
    <t>7 499,98</t>
  </si>
  <si>
    <t>[Відкрити фото](#'00-001676'!A1)</t>
  </si>
  <si>
    <t>62</t>
  </si>
  <si>
    <t>[Відкрити фото](#'00-001681'!A1)</t>
  </si>
  <si>
    <t>63</t>
  </si>
  <si>
    <t>[Відкрити фото](#'00-001531'!A1)</t>
  </si>
  <si>
    <t>64</t>
  </si>
  <si>
    <t>1545</t>
  </si>
  <si>
    <t>65</t>
  </si>
  <si>
    <t>[Відкрити фото](#'00-001484'!A1)</t>
  </si>
  <si>
    <t>66</t>
  </si>
  <si>
    <t>[Відкрити фото](#'00-001498'!A1)</t>
  </si>
  <si>
    <t>67</t>
  </si>
  <si>
    <t>[Відкрити фото](#'00-001512'!A1)</t>
  </si>
  <si>
    <t>68</t>
  </si>
  <si>
    <t>69</t>
  </si>
  <si>
    <t>2 916,61</t>
  </si>
  <si>
    <t>компресорний блок</t>
  </si>
  <si>
    <t>[Відкрити фото](#'00-001360'!A1)</t>
  </si>
  <si>
    <t>Додано — Блок 3</t>
  </si>
  <si>
    <t>70</t>
  </si>
  <si>
    <t>71</t>
  </si>
  <si>
    <t>72</t>
  </si>
  <si>
    <t>[Відкрити фото](#'00-001328'!A1)</t>
  </si>
  <si>
    <t>73</t>
  </si>
  <si>
    <t>[Відкрити фото](#'00-001453'!A1)</t>
  </si>
  <si>
    <t>74</t>
  </si>
  <si>
    <t>75</t>
  </si>
  <si>
    <t>[Відкрити фото](#'00-001316'!A1)</t>
  </si>
  <si>
    <t>76</t>
  </si>
  <si>
    <t>[Відкрити фото](#'00-001310'!A1)</t>
  </si>
  <si>
    <t>77</t>
  </si>
  <si>
    <t>[Відкрити фото](#'00-001504'!A1)</t>
  </si>
  <si>
    <t>78</t>
  </si>
  <si>
    <t>[Відкрити фото](#'00-001606'!A1)</t>
  </si>
  <si>
    <t>79</t>
  </si>
  <si>
    <t>[Відкрити фото](#'00-001469'!A1)</t>
  </si>
  <si>
    <t>80</t>
  </si>
  <si>
    <t>[Відкрити фото](#'00-001551'!A1)</t>
  </si>
  <si>
    <t>81</t>
  </si>
  <si>
    <t>3 666,66</t>
  </si>
  <si>
    <t>2554</t>
  </si>
  <si>
    <t>82</t>
  </si>
  <si>
    <t>2555</t>
  </si>
  <si>
    <t>83</t>
  </si>
  <si>
    <t>1 833,34</t>
  </si>
  <si>
    <t>2553</t>
  </si>
  <si>
    <t>84</t>
  </si>
  <si>
    <t>1194</t>
  </si>
  <si>
    <t>85</t>
  </si>
  <si>
    <t>1 666,72</t>
  </si>
  <si>
    <t>[Відкрити фото](#'00-001609'!A1)</t>
  </si>
  <si>
    <t>86</t>
  </si>
  <si>
    <t>1 458,39</t>
  </si>
  <si>
    <t>[Відкрити фото](#'00-001398'!A1)</t>
  </si>
  <si>
    <t>87</t>
  </si>
  <si>
    <t>[Відкрити фото](#'00-001399'!A1)</t>
  </si>
  <si>
    <t>88</t>
  </si>
  <si>
    <t>[Відкрити фото](#'00-001400'!A1)</t>
  </si>
  <si>
    <t>89</t>
  </si>
  <si>
    <t>1 875,05</t>
  </si>
  <si>
    <t>зі змішувачем (40\*40)</t>
  </si>
  <si>
    <t>1574</t>
  </si>
  <si>
    <t>90</t>
  </si>
  <si>
    <t>[Відкрити фото](#'00-001440'!A1)</t>
  </si>
  <si>
    <t>91</t>
  </si>
  <si>
    <t>задвоений номер (Стіл нержавійка)</t>
  </si>
  <si>
    <t>[Відкрити фото](#'00-001565'!A1)</t>
  </si>
  <si>
    <t>92</t>
  </si>
  <si>
    <t>[Відкрити фото](#'00-001455'!A1)</t>
  </si>
  <si>
    <t>93</t>
  </si>
  <si>
    <t>2 999,98</t>
  </si>
  <si>
    <t>94</t>
  </si>
  <si>
    <t>2 399,95</t>
  </si>
  <si>
    <t>[Відкрити фото](#'00-001624'!A1)</t>
  </si>
  <si>
    <t>95</t>
  </si>
  <si>
    <t>1 499,95</t>
  </si>
  <si>
    <t>1555</t>
  </si>
  <si>
    <t>96</t>
  </si>
  <si>
    <t>1550</t>
  </si>
  <si>
    <t>97</t>
  </si>
  <si>
    <t>[Відкрити фото](#'00-001632'!A1)</t>
  </si>
  <si>
    <t>98</t>
  </si>
  <si>
    <t>1473</t>
  </si>
  <si>
    <t>99</t>
  </si>
  <si>
    <t>1303</t>
  </si>
  <si>
    <t>100</t>
  </si>
  <si>
    <t>101</t>
  </si>
  <si>
    <t>[Відкрити фото](#'00-001536'!A1)</t>
  </si>
  <si>
    <t>102</t>
  </si>
  <si>
    <t>[Відкрити фото](#'00-001326'!A1)</t>
  </si>
  <si>
    <t>103</t>
  </si>
  <si>
    <t>875,00</t>
  </si>
  <si>
    <t>[Відкрити фото](#'00-001427'!A1)</t>
  </si>
  <si>
    <t>Додано — Блок 4</t>
  </si>
  <si>
    <t>104</t>
  </si>
  <si>
    <t>1593</t>
  </si>
  <si>
    <t>105</t>
  </si>
  <si>
    <t>Резерв Бушуєва</t>
  </si>
  <si>
    <t>[Відкрити фото](#'00-001357'!A1)</t>
  </si>
  <si>
    <t>106</t>
  </si>
  <si>
    <t>[Відкрити фото](#'00-001358'!A1)</t>
  </si>
  <si>
    <t>107</t>
  </si>
  <si>
    <t>2 666,72</t>
  </si>
  <si>
    <t>1451</t>
  </si>
  <si>
    <t>108</t>
  </si>
  <si>
    <t>[Відкрити фото](#'00-001604'!A1)</t>
  </si>
  <si>
    <t>109</t>
  </si>
  <si>
    <t>1489</t>
  </si>
  <si>
    <t>110</t>
  </si>
  <si>
    <t>Бондаренко Н. хоче забрати собі</t>
  </si>
  <si>
    <t>[Відкрити фото](#'00-001510'!A1)</t>
  </si>
  <si>
    <t>111</t>
  </si>
  <si>
    <t>2 333,39</t>
  </si>
  <si>
    <t>[Відкрити фото](#'00-001374'!A1)</t>
  </si>
  <si>
    <t>112</t>
  </si>
  <si>
    <t>[Відкрити фото](#'00-001375'!A1)</t>
  </si>
  <si>
    <t>113</t>
  </si>
  <si>
    <t>[Відкрити фото](#'00-001391'!A1)</t>
  </si>
  <si>
    <t>114</t>
  </si>
  <si>
    <t>[Відкрити фото](#'00-001392'!A1)</t>
  </si>
  <si>
    <t>115</t>
  </si>
  <si>
    <t>1651</t>
  </si>
  <si>
    <t>116</t>
  </si>
  <si>
    <t>56 250,00</t>
  </si>
  <si>
    <t>[Відкрити фото](#'00-001630'!A1)</t>
  </si>
  <si>
    <t>117</t>
  </si>
  <si>
    <t>29 166,61</t>
  </si>
  <si>
    <t>[Відкрити фото](#'00-001418'!A1)</t>
  </si>
  <si>
    <t>118</t>
  </si>
  <si>
    <t>2479</t>
  </si>
  <si>
    <t>119</t>
  </si>
  <si>
    <t>по факту стіл з ванною мийкою</t>
  </si>
  <si>
    <t>[Відкрити фото](#'00-001429'!A1)</t>
  </si>
  <si>
    <t>120</t>
  </si>
  <si>
    <t>3 000,00</t>
  </si>
  <si>
    <t>1442</t>
  </si>
  <si>
    <t>121</t>
  </si>
  <si>
    <t>[Відкрити фото](#'00-001454'!A1)</t>
  </si>
  <si>
    <t>122</t>
  </si>
  <si>
    <t>3 375,00</t>
  </si>
  <si>
    <t>[Відкрити фото](#'00-001566'!A1)</t>
  </si>
  <si>
    <t>123</t>
  </si>
  <si>
    <t>[Відкрити фото](#'00-001575'!A1)</t>
  </si>
  <si>
    <t>124</t>
  </si>
  <si>
    <t>[Відкрити фото](#'00-002472'!A1)</t>
  </si>
  <si>
    <t>4 226,00</t>
  </si>
  <si>
    <t>https://prom.ua/ua/m530154380360818591-mikrovolnovka-mikrohvilova-pich.html</t>
  </si>
  <si>
    <t>125</t>
  </si>
  <si>
    <t>1817</t>
  </si>
  <si>
    <t>126</t>
  </si>
  <si>
    <t>[Відкрити фото](#'00-001819'!A1)</t>
  </si>
  <si>
    <t>127</t>
  </si>
  <si>
    <t>[Відкрити фото](#'00-001818'!A1)</t>
  </si>
  <si>
    <t>128</t>
  </si>
  <si>
    <t>[Відкрити фото](#'00-001145'!A1)</t>
  </si>
  <si>
    <t>982,00</t>
  </si>
  <si>
    <t>https://prom.ua/ua/m-4271459931600823168-ergo-w023-crc9.html</t>
  </si>
  <si>
    <t>129</t>
  </si>
  <si>
    <t>1196</t>
  </si>
  <si>
    <t>130</t>
  </si>
  <si>
    <t>8 249,95</t>
  </si>
  <si>
    <t>[Відкрити фото](#'00-001569'!A1)</t>
  </si>
  <si>
    <t>131</t>
  </si>
  <si>
    <t>[Відкрити фото](#'00-001578'!A1)</t>
  </si>
  <si>
    <t>Додано — Блок 5</t>
  </si>
  <si>
    <t>132</t>
  </si>
  <si>
    <t>2 041,61</t>
  </si>
  <si>
    <t>[Відкрити фото](#'00-001422'!A1)</t>
  </si>
  <si>
    <t>133</t>
  </si>
  <si>
    <t>2485</t>
  </si>
  <si>
    <t>134</t>
  </si>
  <si>
    <t>[Відкрити фото](#'00-001605'!A1)</t>
  </si>
  <si>
    <t>135</t>
  </si>
  <si>
    <t>13 125,00</t>
  </si>
  <si>
    <t>27 стійок</t>
  </si>
  <si>
    <t>2498</t>
  </si>
  <si>
    <t>136</t>
  </si>
  <si>
    <t>[Відкрити фото](#'00-001556'!A1)</t>
  </si>
  <si>
    <t>137</t>
  </si>
  <si>
    <t>437,51</t>
  </si>
  <si>
    <t>по факту 1458 (120\*82\*80) стіл з ванною мийкою</t>
  </si>
  <si>
    <t>[Відкрити фото](#'00-002460'!A1)</t>
  </si>
  <si>
    <t>138</t>
  </si>
  <si>
    <t>немає наліпки</t>
  </si>
  <si>
    <t>2456</t>
  </si>
  <si>
    <t>139</t>
  </si>
  <si>
    <t>1 125,00</t>
  </si>
  <si>
    <t>[Відкрити фото](#'00-001563'!A1)</t>
  </si>
  <si>
    <t>140</t>
  </si>
  <si>
    <t>[Відкрити фото](#'00-001460'!A1)</t>
  </si>
  <si>
    <t>141</t>
  </si>
  <si>
    <t>[Відкрити фото](#'00-001461'!A1)</t>
  </si>
  <si>
    <t>142</t>
  </si>
  <si>
    <t>1565</t>
  </si>
  <si>
    <t>[Відкрити фото](#'00-001462'!A1)</t>
  </si>
  <si>
    <t>143</t>
  </si>
  <si>
    <t>[Відкрити фото](#'00-001411'!A1)</t>
  </si>
  <si>
    <t>144</t>
  </si>
  <si>
    <t>[Відкрити фото](#'00-001412'!A1)</t>
  </si>
  <si>
    <t>145</t>
  </si>
  <si>
    <t>[Відкрити фото](#'00-001413'!A1)</t>
  </si>
  <si>
    <t>146</t>
  </si>
  <si>
    <t>[Відкрити фото](#'00-001414'!A1)</t>
  </si>
  <si>
    <t>147</t>
  </si>
  <si>
    <t>[Відкрити фото](#'00-001415'!A1)</t>
  </si>
  <si>
    <t>148</t>
  </si>
  <si>
    <t>149</t>
  </si>
  <si>
    <t>150</t>
  </si>
  <si>
    <t>[Відкрити фото](#'00-001562'!A1)</t>
  </si>
  <si>
    <t>151</t>
  </si>
  <si>
    <t>[Відкрити фото](#'00-001144'!A1)</t>
  </si>
  <si>
    <t>3 005,00</t>
  </si>
  <si>
    <t>https://prom.ua/ua/m9154024007946130893-marshrutizator-mikrotik-rb951ui.html</t>
  </si>
  <si>
    <t>1 400,00</t>
  </si>
  <si>
    <t>152</t>
  </si>
  <si>
    <t>250,00</t>
  </si>
  <si>
    <t>2453</t>
  </si>
  <si>
    <t>153</t>
  </si>
  <si>
    <t>2455</t>
  </si>
  <si>
    <t>154</t>
  </si>
  <si>
    <t>1 031,30</t>
  </si>
  <si>
    <t>[Відкрити фото](#'00-001568'!A1)</t>
  </si>
  <si>
    <t>3 115,00</t>
  </si>
  <si>
    <t>https://horecaequip.com.ua/uk-ua/p4736-frityurnica-elektricheskaya-professionalnaya-6-l-goodfood-ef6-black</t>
  </si>
  <si>
    <t>155</t>
  </si>
  <si>
    <t>[Відкрити фото](#'00-001577'!A1)</t>
  </si>
  <si>
    <t>156</t>
  </si>
  <si>
    <t>7 061,00</t>
  </si>
  <si>
    <t>1590</t>
  </si>
  <si>
    <t>157</t>
  </si>
  <si>
    <t>1591</t>
  </si>
  <si>
    <t>158</t>
  </si>
  <si>
    <t>3 127,50</t>
  </si>
  <si>
    <t>[Відкрити фото](#'00-001596'!A1)</t>
  </si>
  <si>
    <t>159</t>
  </si>
  <si>
    <t>10 424,98</t>
  </si>
  <si>
    <t>1689</t>
  </si>
  <si>
    <t>160</t>
  </si>
  <si>
    <t>161</t>
  </si>
  <si>
    <t>6 333,28</t>
  </si>
  <si>
    <t>162</t>
  </si>
  <si>
    <t>163</t>
  </si>
  <si>
    <t>164</t>
  </si>
  <si>
    <t>[Відкрити фото](#'00-001463'!A1)</t>
  </si>
  <si>
    <t>165</t>
  </si>
  <si>
    <t>166</t>
  </si>
  <si>
    <t>8 866,61</t>
  </si>
  <si>
    <t>[Відкрити фото](#'00-001388'!A1)</t>
  </si>
  <si>
    <t>Додано — Блок 6</t>
  </si>
  <si>
    <t>167</t>
  </si>
  <si>
    <t>166,67</t>
  </si>
  <si>
    <t>168</t>
  </si>
  <si>
    <t>169</t>
  </si>
  <si>
    <t>170</t>
  </si>
  <si>
    <t>6 486,61</t>
  </si>
  <si>
    <t>1344</t>
  </si>
  <si>
    <t>171</t>
  </si>
  <si>
    <t>2 432,50</t>
  </si>
  <si>
    <t>172</t>
  </si>
  <si>
    <t>не списали. Залишились тільки профлисти</t>
  </si>
  <si>
    <t>173</t>
  </si>
  <si>
    <t>4 800,05</t>
  </si>
  <si>
    <t>[Відкрити фото](#'00-001553'!A1)</t>
  </si>
  <si>
    <t>174</t>
  </si>
  <si>
    <t>[Відкрити фото](#'00-001549'!A1)</t>
  </si>
  <si>
    <t>175</t>
  </si>
  <si>
    <t>[Відкрити фото](#'00-001298'!A1)</t>
  </si>
  <si>
    <t>176</t>
  </si>
  <si>
    <t>4 633,28</t>
  </si>
  <si>
    <t>[Відкрити фото](#'00-001535'!A1)</t>
  </si>
  <si>
    <t>177</t>
  </si>
  <si>
    <t>8 000,00</t>
  </si>
  <si>
    <t>[Відкрити фото](#'00-001495'!A1)</t>
  </si>
  <si>
    <t>178</t>
  </si>
  <si>
    <t>[Відкрити фото](#'00-001603'!A1)</t>
  </si>
  <si>
    <t>179</t>
  </si>
  <si>
    <t>1356</t>
  </si>
  <si>
    <t>180</t>
  </si>
  <si>
    <t>[Відкрити фото](#'00-001481'!A1)</t>
  </si>
  <si>
    <t>181</t>
  </si>
  <si>
    <t>4 800,00</t>
  </si>
  <si>
    <t>[Відкрити фото](#'00-001509'!A1)</t>
  </si>
  <si>
    <t>182</t>
  </si>
  <si>
    <t>по факту 1390</t>
  </si>
  <si>
    <t>1390</t>
  </si>
  <si>
    <t>Потрібна ручна звірка</t>
  </si>
  <si>
    <t>183</t>
  </si>
  <si>
    <t>[Відкрити фото](#'00-001325'!A1)</t>
  </si>
  <si>
    <t>184</t>
  </si>
  <si>
    <t>[Відкрити фото](#'00-001320'!A1)</t>
  </si>
  <si>
    <t>185</t>
  </si>
  <si>
    <t>1302</t>
  </si>
  <si>
    <t>186</t>
  </si>
  <si>
    <t>1 866,61</t>
  </si>
  <si>
    <t>[Відкрити фото](#'00-001376'!A1)</t>
  </si>
  <si>
    <t>187</t>
  </si>
  <si>
    <t>без наліпок з номером</t>
  </si>
  <si>
    <t>1314</t>
  </si>
  <si>
    <t>188</t>
  </si>
  <si>
    <t>6 250,00</t>
  </si>
  <si>
    <t>по факту 1654</t>
  </si>
  <si>
    <t>1654</t>
  </si>
  <si>
    <t>189</t>
  </si>
  <si>
    <t>190</t>
  </si>
  <si>
    <t>[Відкрити фото](#'00-001607'!A1)</t>
  </si>
  <si>
    <t>191</t>
  </si>
  <si>
    <t>[Відкрити фото](#'00-001147'!A1)</t>
  </si>
  <si>
    <t>192</t>
  </si>
  <si>
    <t>193</t>
  </si>
  <si>
    <t>1193</t>
  </si>
  <si>
    <t>194</t>
  </si>
  <si>
    <t>1 750,00</t>
  </si>
  <si>
    <t>1419</t>
  </si>
  <si>
    <t>195</t>
  </si>
  <si>
    <t>2494</t>
  </si>
  <si>
    <t>196</t>
  </si>
  <si>
    <t>131,25</t>
  </si>
  <si>
    <t>197</t>
  </si>
  <si>
    <t>4430</t>
  </si>
  <si>
    <t>378,00</t>
  </si>
  <si>
    <t>https://prom.ua/ua/p2595083217-led-svitilnik-lebron.html</t>
  </si>
  <si>
    <t>198</t>
  </si>
  <si>
    <t>199</t>
  </si>
  <si>
    <t>200</t>
  </si>
  <si>
    <t>розкомплектовані</t>
  </si>
  <si>
    <t>[Відкрити фото](#'00-00004843'!A1)</t>
  </si>
  <si>
    <t>201</t>
  </si>
  <si>
    <t>202</t>
  </si>
  <si>
    <t>203</t>
  </si>
  <si>
    <t>204</t>
  </si>
  <si>
    <t>[Відкрити фото](#'00-00005070'!A1)</t>
  </si>
  <si>
    <t>205</t>
  </si>
  <si>
    <t>27.5\*32</t>
  </si>
  <si>
    <t>[Відкрити фото](#'00-00005054'!A1)</t>
  </si>
  <si>
    <t>206</t>
  </si>
  <si>
    <t>[Відкрити фото](#'00-00005055'!A1)</t>
  </si>
  <si>
    <t>207</t>
  </si>
  <si>
    <t>208</t>
  </si>
  <si>
    <t>209</t>
  </si>
  <si>
    <t>210</t>
  </si>
  <si>
    <t>211</t>
  </si>
  <si>
    <t>212</t>
  </si>
  <si>
    <t>213</t>
  </si>
  <si>
    <t>214</t>
  </si>
  <si>
    <t>[Відкрити фото](#'00-00005175'!A1)</t>
  </si>
  <si>
    <t>215</t>
  </si>
  <si>
    <t>[Відкрити фото](#'00-00000056'!A1)</t>
  </si>
  <si>
    <t>216</t>
  </si>
  <si>
    <t>відсутня наліпка з номером</t>
  </si>
  <si>
    <t>3750</t>
  </si>
  <si>
    <t>2 068,00</t>
  </si>
  <si>
    <t>https://prom.ua/ua/p2733210144-drabina-staleva-posilena.html</t>
  </si>
  <si>
    <t>217</t>
  </si>
  <si>
    <t>218</t>
  </si>
  <si>
    <t>219</t>
  </si>
  <si>
    <t>в машині у Бондаренко Ніни</t>
  </si>
  <si>
    <t>500,00</t>
  </si>
  <si>
    <t>https://prom.ua/ua/p1373878237-kanistra-plastikovaya-dlya.html</t>
  </si>
  <si>
    <t>220</t>
  </si>
  <si>
    <t>793,06</t>
  </si>
  <si>
    <t>https://prom.ua/ua/p2763412790-kanistra-plast-plastikovaya.html</t>
  </si>
  <si>
    <t>221</t>
  </si>
  <si>
    <t>2 шт по 4 м</t>
  </si>
  <si>
    <t>222</t>
  </si>
  <si>
    <t>223</t>
  </si>
  <si>
    <t>[Відкрити фото](#'00-00004849'!A1)</t>
  </si>
  <si>
    <t>Додано — Фінал</t>
  </si>
  <si>
    <t>224</t>
  </si>
  <si>
    <t>225</t>
  </si>
  <si>
    <t>226</t>
  </si>
  <si>
    <t>по факту 3458</t>
  </si>
  <si>
    <t>[Відкрити фото](#'00-00005182'!A1)</t>
  </si>
  <si>
    <t>227</t>
  </si>
  <si>
    <t>[4856](#'4856'!A1)</t>
  </si>
  <si>
    <t>228</t>
  </si>
  <si>
    <t>229</t>
  </si>
  <si>
    <t>230</t>
  </si>
  <si>
    <t>231</t>
  </si>
  <si>
    <t>232</t>
  </si>
  <si>
    <t>[Відкрити фото](#'00-00004860'!A1)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</si>
  <si>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</si>
  <si>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</si>
  <si>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</si>
  <si>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</si>
  <si>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</si>
  <si>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</si>
  <si>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</si>
  <si>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</si>
  <si>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</si>
  <si>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</si>
  <si>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11 зелених, 14 жовтих</t>
  </si>
  <si>
    <t>[Відкрити фото](#'00-00005328'!A1)</t>
  </si>
  <si>
    <t>243</t>
  </si>
  <si>
    <t>244</t>
  </si>
  <si>
    <t>245</t>
  </si>
  <si>
    <t>246</t>
  </si>
  <si>
    <t>[Відкрити фото](#'00-00005325'!A1)</t>
  </si>
  <si>
    <t>247</t>
  </si>
  <si>
    <t>248</t>
  </si>
  <si>
    <t>249</t>
  </si>
  <si>
    <t>[Відкрити фото](#'00-00004861'!A1)</t>
  </si>
  <si>
    <t>250</t>
  </si>
  <si>
    <t>не рахував</t>
  </si>
  <si>
    <t>251</t>
  </si>
  <si>
    <t>252</t>
  </si>
  <si>
    <t>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</si>
</sst>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</fills>
  <borders count="16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3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2" xfId="1" applyFont="1" applyBorder="1" applyAlignment="1">
      <alignment wrapText="1"/>
    </xf>
    <xf numFmtId="0" fontId="1" fillId="3" borderId="3" xfId="1" applyFont="1" applyFill="1" applyBorder="1" applyAlignment="1">
      <alignment horizontal="center" vertical="center" wrapText="1"/>
    </xf>
    <xf numFmtId="0" fontId="1" fillId="3" borderId="4" xfId="1" applyFont="1" applyFill="1" applyBorder="1" applyAlignment="1">
      <alignment horizontal="center" vertical="center" wrapText="1"/>
    </xf>
    <xf numFmtId="0" fontId="1" fillId="3" borderId="5" xfId="1" applyFont="1" applyFill="1" applyBorder="1" applyAlignment="1">
      <alignment horizontal="center" vertical="center" wrapText="1"/>
    </xf>
    <xf numFmtId="0" fontId="0" fillId="0" borderId="1" xfId="1" applyFont="1" applyBorder="1" applyAlignment="1">
      <alignment horizontal="center" vertical="center" wrapText="1"/>
    </xf>
    <xf numFmtId="0" fontId="0" fillId="0" borderId="7" xfId="1" applyFont="1" applyBorder="1" applyAlignment="1">
      <alignment horizontal="center" vertical="center" wrapText="1"/>
    </xf>
    <xf numFmtId="0" fontId="0" fillId="0" borderId="9" xfId="1" applyFont="1" applyBorder="1" applyAlignment="1">
      <alignment horizontal="center" vertical="center" wrapText="1"/>
    </xf>
    <xf numFmtId="0" fontId="0" fillId="0" borderId="0" xfId="1" applyFont="1" applyAlignment="1">
      <alignment horizontal="center" vertical="center" wrapText="1"/>
    </xf>
    <xf numFmtId="0" fontId="0" fillId="0" borderId="0" xfId="1" applyFont="1" applyAlignment="1">
      <alignment vertical="center" wrapText="1"/>
    </xf>
    <xf numFmtId="4" fontId="0" fillId="0" borderId="0" xfId="1" applyNumberFormat="1" applyFont="1" applyAlignment="1">
      <alignment vertical="center" wrapText="1"/>
    </xf>
    <xf numFmtId="0" fontId="0" fillId="0" borderId="10" xfId="1" applyFont="1" applyBorder="1" applyAlignment="1">
      <alignment vertical="center" wrapText="1"/>
    </xf>
    <xf numFmtId="0" fontId="0" fillId="0" borderId="14" xfId="1" applyFont="1" applyBorder="1" applyAlignment="1">
      <alignment vertical="center" wrapText="1"/>
    </xf>
    <xf numFmtId="0" fontId="0" fillId="0" borderId="15" xfId="1" applyFont="1" applyBorder="1" applyAlignment="1">
      <alignment vertical="center" wrapText="1"/>
    </xf>
    <xf numFmtId="0" fontId="0" fillId="0" borderId="13" xfId="1" applyFont="1" applyBorder="1" applyAlignment="1">
      <alignment horizontal="center" vertical="center" wrapText="1"/>
    </xf>
    <xf numFmtId="0" fontId="0" fillId="0" borderId="14" xfId="1" applyFont="1" applyBorder="1" applyAlignment="1">
      <alignment horizontal="center" vertical="center" wrapText="1"/>
    </xf>
    <xf numFmtId="0" fontId="0" fillId="0" borderId="6" xfId="1" applyFont="1" applyBorder="1" applyAlignment="1">
      <alignment horizontal="center" vertical="center" wrapText="1"/>
    </xf>
    <xf numFmtId="0" fontId="0" fillId="0" borderId="9" xfId="1" applyFont="1" applyBorder="1" applyAlignment="1">
      <alignment horizontal="center" vertical="center" wrapText="1"/>
    </xf>
    <xf numFmtId="0" fontId="0" fillId="0" borderId="7" xfId="1" applyFont="1" applyBorder="1" applyAlignment="1">
      <alignment vertical="center" wrapText="1"/>
    </xf>
    <xf numFmtId="0" fontId="0" fillId="0" borderId="0" xfId="1" applyFont="1" applyAlignment="1">
      <alignment vertical="center" wrapText="1"/>
    </xf>
    <xf numFmtId="0" fontId="0" fillId="0" borderId="7" xfId="1" applyFont="1" applyBorder="1" applyAlignment="1">
      <alignment horizontal="center" vertical="center" wrapText="1"/>
    </xf>
    <xf numFmtId="0" fontId="0" fillId="0" borderId="0" xfId="1" applyFont="1" applyAlignment="1">
      <alignment horizontal="center" vertical="center" wrapText="1"/>
    </xf>
    <xf numFmtId="4" fontId="0" fillId="0" borderId="7" xfId="1" applyNumberFormat="1" applyFont="1" applyBorder="1" applyAlignment="1">
      <alignment vertical="center" wrapText="1"/>
    </xf>
    <xf numFmtId="4" fontId="0" fillId="0" borderId="0" xfId="1" applyNumberFormat="1" applyFont="1" applyAlignment="1">
      <alignment vertical="center" wrapText="1"/>
    </xf>
    <xf numFmtId="0" fontId="0" fillId="0" borderId="8" xfId="1" applyFont="1" applyBorder="1" applyAlignment="1">
      <alignment vertical="center" wrapText="1"/>
    </xf>
    <xf numFmtId="0" fontId="0" fillId="0" borderId="10" xfId="1" applyFont="1" applyBorder="1" applyAlignment="1">
      <alignment vertical="center" wrapText="1"/>
    </xf>
    <xf numFmtId="0" fontId="0" fillId="0" borderId="11" xfId="1" applyFont="1" applyBorder="1" applyAlignment="1">
      <alignment horizontal="center" vertical="center" wrapText="1"/>
    </xf>
    <xf numFmtId="0" fontId="0" fillId="0" borderId="1" xfId="1" applyFont="1" applyBorder="1" applyAlignment="1">
      <alignment vertical="center" wrapText="1"/>
    </xf>
    <xf numFmtId="0" fontId="0" fillId="0" borderId="1" xfId="1" applyFont="1" applyBorder="1" applyAlignment="1">
      <alignment horizontal="center" vertical="center" wrapText="1"/>
    </xf>
    <xf numFmtId="4" fontId="0" fillId="0" borderId="1" xfId="1" applyNumberFormat="1" applyFont="1" applyBorder="1" applyAlignment="1">
      <alignment vertical="center" wrapText="1"/>
    </xf>
    <xf numFmtId="0" fontId="0" fillId="0" borderId="12" xfId="1" applyFont="1" applyBorder="1" applyAlignment="1">
      <alignment vertical="center" wrapText="1"/>
    </xf>
  </cellXfs>
  <cellStyles count="2">
    <cellStyle name="Normal" xfId="1" xr:uid="{00000000-0005-0000-0000-000000000000}"/>
    <cellStyle name="Звичайний" xfId="0" builtinId="0"/>
  </cellStyles>
  <dxfs count="2">
    <dxf>
      <fill>
        <patternFill>
          <bgColor rgb="FFFCE4D6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73"/>
  <sheetViews>
    <sheetView tabSelected="1" topLeftCell="P1" workbookViewId="0">
      <selection activeCell="Q1" sqref="Q1"/>
    </sheetView>
  </sheetViews>
  <sheetFormatPr defaultRowHeight="13.8"/>
  <cols>
    <col min="1" max="1" width="16" customWidth="1"/>
    <col min="2" max="2" width="24" customWidth="1"/>
    <col min="3" max="3" width="85.09765625" customWidth="1"/>
    <col min="4" max="4" width="42" customWidth="1"/>
    <col min="5" max="5" width="34" customWidth="1"/>
    <col min="6" max="6" width="8" customWidth="1"/>
    <col min="7" max="7" width="12" customWidth="1"/>
    <col min="8" max="8" width="18" customWidth="1"/>
    <col min="9" max="9" width="20" customWidth="1"/>
    <col min="10" max="10" width="38" customWidth="1"/>
    <col min="11" max="11" width="16" customWidth="1"/>
    <col min="12" max="12" width="38" customWidth="1"/>
    <col min="13" max="13" width="14" customWidth="1"/>
    <col min="14" max="14" width="18" customWidth="1"/>
    <col min="15" max="15" width="14" customWidth="1"/>
    <col min="16" max="16" width="16" customWidth="1"/>
    <col min="17" max="17" width="28" customWidth="1"/>
  </cols>
  <sheetData>
    <row r="1" spans="1:17" ht="25.6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</row>
    <row r="2" spans="1:17" ht="19.2" customHeight="1">
      <c r="A2" s="18" t="s">
        <v>17</v>
      </c>
      <c r="B2" s="8" t="str">
        <f>HYPERLINK("https://drive.google.com/file/d/1QueQjP0CHCwEp46bqTNWQZyNEbiDJeA8/view?usp=drivesdk","20260707_170903.jpg")</f>
        <v>20260707_170903.jpg</v>
      </c>
      <c r="C2" s="20" t="s">
        <v>18</v>
      </c>
      <c r="D2" s="20" t="s">
        <v>19</v>
      </c>
      <c r="E2" s="20" t="s">
        <v>20</v>
      </c>
      <c r="F2" s="22">
        <v>1</v>
      </c>
      <c r="G2" s="22"/>
      <c r="H2" s="24">
        <v>0</v>
      </c>
      <c r="I2" s="24"/>
      <c r="J2" s="20" t="s">
        <v>19</v>
      </c>
      <c r="K2" s="22" t="s">
        <v>21</v>
      </c>
      <c r="L2" s="20" t="s">
        <v>22</v>
      </c>
      <c r="M2" s="22"/>
      <c r="N2" s="22"/>
      <c r="O2" s="22"/>
      <c r="P2" s="22"/>
      <c r="Q2" s="26"/>
    </row>
    <row r="3" spans="1:17" ht="19.2" customHeight="1">
      <c r="A3" s="19"/>
      <c r="B3" s="10" t="str">
        <f>HYPERLINK("https://drive.google.com/file/d/13f_Us7QfgIpVLQhQw31rAS8N_UcHRc0F/view?usp=drivesdk","20260707_170914.jpg")</f>
        <v>20260707_170914.jpg</v>
      </c>
      <c r="C3" s="21"/>
      <c r="D3" s="21"/>
      <c r="E3" s="21"/>
      <c r="F3" s="23"/>
      <c r="G3" s="23"/>
      <c r="H3" s="25"/>
      <c r="I3" s="25"/>
      <c r="J3" s="21"/>
      <c r="K3" s="23"/>
      <c r="L3" s="21"/>
      <c r="M3" s="23"/>
      <c r="N3" s="23"/>
      <c r="O3" s="23"/>
      <c r="P3" s="23"/>
      <c r="Q3" s="27"/>
    </row>
    <row r="4" spans="1:17" ht="19.2" customHeight="1">
      <c r="A4" s="9" t="s">
        <v>23</v>
      </c>
      <c r="B4" s="10"/>
      <c r="C4" s="11" t="s">
        <v>24</v>
      </c>
      <c r="D4" s="11" t="s">
        <v>25</v>
      </c>
      <c r="E4" s="11" t="s">
        <v>20</v>
      </c>
      <c r="F4" s="10">
        <v>1</v>
      </c>
      <c r="G4" s="10"/>
      <c r="H4" s="12"/>
      <c r="I4" s="12"/>
      <c r="J4" s="11" t="s">
        <v>25</v>
      </c>
      <c r="K4" s="10" t="s">
        <v>21</v>
      </c>
      <c r="L4" s="11" t="s">
        <v>26</v>
      </c>
      <c r="M4" s="10"/>
      <c r="N4" s="10"/>
      <c r="O4" s="10"/>
      <c r="P4" s="10"/>
      <c r="Q4" s="13"/>
    </row>
    <row r="5" spans="1:17" ht="19.2" customHeight="1">
      <c r="A5" s="9" t="s">
        <v>27</v>
      </c>
      <c r="B5" s="10"/>
      <c r="C5" s="11" t="s">
        <v>28</v>
      </c>
      <c r="D5" s="11" t="s">
        <v>29</v>
      </c>
      <c r="E5" s="11" t="s">
        <v>20</v>
      </c>
      <c r="F5" s="10">
        <v>1</v>
      </c>
      <c r="G5" s="10"/>
      <c r="H5" s="12"/>
      <c r="I5" s="12"/>
      <c r="J5" s="11" t="s">
        <v>29</v>
      </c>
      <c r="K5" s="10" t="s">
        <v>21</v>
      </c>
      <c r="L5" s="11" t="s">
        <v>26</v>
      </c>
      <c r="M5" s="10"/>
      <c r="N5" s="10"/>
      <c r="O5" s="10"/>
      <c r="P5" s="10"/>
      <c r="Q5" s="13"/>
    </row>
    <row r="6" spans="1:17" ht="19.2" customHeight="1">
      <c r="A6" s="9" t="s">
        <v>30</v>
      </c>
      <c r="B6" s="10" t="str">
        <f>HYPERLINK("https://drive.google.com/file/d/1fpi6eA2gP9Qs_v1PYfGaDL1dXTMYsf9Q/view?usp=drivesdk","20260707_161152.jpg")</f>
        <v>20260707_161152.jpg</v>
      </c>
      <c r="C6" s="11" t="s">
        <v>31</v>
      </c>
      <c r="D6" s="11" t="s">
        <v>32</v>
      </c>
      <c r="E6" s="11" t="s">
        <v>20</v>
      </c>
      <c r="F6" s="10">
        <v>1</v>
      </c>
      <c r="G6" s="10"/>
      <c r="H6" s="12"/>
      <c r="I6" s="12"/>
      <c r="J6" s="11" t="s">
        <v>32</v>
      </c>
      <c r="K6" s="10" t="s">
        <v>21</v>
      </c>
      <c r="L6" s="11" t="s">
        <v>22</v>
      </c>
      <c r="M6" s="10"/>
      <c r="N6" s="10"/>
      <c r="O6" s="10"/>
      <c r="P6" s="10"/>
      <c r="Q6" s="13"/>
    </row>
    <row r="7" spans="1:17" ht="19.2" customHeight="1">
      <c r="A7" s="19" t="s">
        <v>33</v>
      </c>
      <c r="B7" s="10" t="str">
        <f>HYPERLINK("https://drive.google.com/file/d/1flsClND9KlMI1ZwC9erpFzkAZIJILV8x/view?usp=drivesdk","20260707_145224.jpg")</f>
        <v>20260707_145224.jpg</v>
      </c>
      <c r="C7" s="21" t="s">
        <v>31</v>
      </c>
      <c r="D7" s="21" t="s">
        <v>32</v>
      </c>
      <c r="E7" s="21" t="s">
        <v>20</v>
      </c>
      <c r="F7" s="23">
        <v>1</v>
      </c>
      <c r="G7" s="23"/>
      <c r="H7" s="25"/>
      <c r="I7" s="25"/>
      <c r="J7" s="21" t="s">
        <v>32</v>
      </c>
      <c r="K7" s="23" t="s">
        <v>21</v>
      </c>
      <c r="L7" s="21" t="s">
        <v>22</v>
      </c>
      <c r="M7" s="23"/>
      <c r="N7" s="23"/>
      <c r="O7" s="23"/>
      <c r="P7" s="23"/>
      <c r="Q7" s="27"/>
    </row>
    <row r="8" spans="1:17" ht="19.2" customHeight="1">
      <c r="A8" s="19"/>
      <c r="B8" s="10" t="str">
        <f>HYPERLINK("https://drive.google.com/file/d/1m6Zif7l76jjZbEgM_yofP_uVUIFU4oW1/view?usp=drivesdk","20260707_145232.jpg")</f>
        <v>20260707_145232.jpg</v>
      </c>
      <c r="C8" s="21"/>
      <c r="D8" s="21"/>
      <c r="E8" s="21"/>
      <c r="F8" s="23"/>
      <c r="G8" s="23"/>
      <c r="H8" s="25"/>
      <c r="I8" s="25"/>
      <c r="J8" s="21"/>
      <c r="K8" s="23"/>
      <c r="L8" s="21"/>
      <c r="M8" s="23"/>
      <c r="N8" s="23"/>
      <c r="O8" s="23"/>
      <c r="P8" s="23"/>
      <c r="Q8" s="27"/>
    </row>
    <row r="9" spans="1:17" ht="19.2" customHeight="1">
      <c r="A9" s="9" t="s">
        <v>34</v>
      </c>
      <c r="B9" s="10" t="str">
        <f>HYPERLINK("https://drive.google.com/file/d/1d48jAZR_TArd67WTwu9IPLAT7LMy0I-T/view?usp=drivesdk","20260707_161008.jpg")</f>
        <v>20260707_161008.jpg</v>
      </c>
      <c r="C9" s="11" t="s">
        <v>31</v>
      </c>
      <c r="D9" s="11" t="s">
        <v>32</v>
      </c>
      <c r="E9" s="11" t="s">
        <v>20</v>
      </c>
      <c r="F9" s="10">
        <v>1</v>
      </c>
      <c r="G9" s="10"/>
      <c r="H9" s="12"/>
      <c r="I9" s="12"/>
      <c r="J9" s="11" t="s">
        <v>32</v>
      </c>
      <c r="K9" s="10" t="s">
        <v>21</v>
      </c>
      <c r="L9" s="11" t="s">
        <v>22</v>
      </c>
      <c r="M9" s="10"/>
      <c r="N9" s="10"/>
      <c r="O9" s="10"/>
      <c r="P9" s="10"/>
      <c r="Q9" s="13"/>
    </row>
    <row r="10" spans="1:17" ht="19.2" customHeight="1">
      <c r="A10" s="9" t="s">
        <v>35</v>
      </c>
      <c r="B10" s="10" t="str">
        <f>HYPERLINK("https://drive.google.com/file/d/1NtaXdso7umscLUZwGiquyMcdSLOFd99O/view?usp=drivesdk","20260707_161155.jpg")</f>
        <v>20260707_161155.jpg</v>
      </c>
      <c r="C10" s="11" t="s">
        <v>31</v>
      </c>
      <c r="D10" s="11" t="s">
        <v>32</v>
      </c>
      <c r="E10" s="11" t="s">
        <v>20</v>
      </c>
      <c r="F10" s="10">
        <v>1</v>
      </c>
      <c r="G10" s="10"/>
      <c r="H10" s="12"/>
      <c r="I10" s="12"/>
      <c r="J10" s="11" t="s">
        <v>32</v>
      </c>
      <c r="K10" s="10" t="s">
        <v>21</v>
      </c>
      <c r="L10" s="11" t="s">
        <v>22</v>
      </c>
      <c r="M10" s="10"/>
      <c r="N10" s="10"/>
      <c r="O10" s="10"/>
      <c r="P10" s="10"/>
      <c r="Q10" s="13"/>
    </row>
    <row r="11" spans="1:17" ht="19.2" customHeight="1">
      <c r="A11" s="9" t="s">
        <v>36</v>
      </c>
      <c r="B11" s="10"/>
      <c r="C11" s="11" t="s">
        <v>37</v>
      </c>
      <c r="D11" s="11" t="s">
        <v>38</v>
      </c>
      <c r="E11" s="11" t="s">
        <v>20</v>
      </c>
      <c r="F11" s="10">
        <v>1</v>
      </c>
      <c r="G11" s="10"/>
      <c r="H11" s="12"/>
      <c r="I11" s="12"/>
      <c r="J11" s="11" t="s">
        <v>38</v>
      </c>
      <c r="K11" s="10" t="s">
        <v>21</v>
      </c>
      <c r="L11" s="11" t="s">
        <v>26</v>
      </c>
      <c r="M11" s="10"/>
      <c r="N11" s="10"/>
      <c r="O11" s="10"/>
      <c r="P11" s="10"/>
      <c r="Q11" s="13"/>
    </row>
    <row r="12" spans="1:17" ht="19.2" customHeight="1">
      <c r="A12" s="9" t="s">
        <v>39</v>
      </c>
      <c r="B12" s="10" t="str">
        <f>HYPERLINK("https://drive.google.com/file/d/1DbGjDOPSNCia4CkC5eigQaFXqfSPvx2g/view?usp=drivesdk","20260707_172157.jpg")</f>
        <v>20260707_172157.jpg</v>
      </c>
      <c r="C12" s="11" t="s">
        <v>40</v>
      </c>
      <c r="D12" s="11" t="s">
        <v>38</v>
      </c>
      <c r="E12" s="11" t="s">
        <v>20</v>
      </c>
      <c r="F12" s="10">
        <v>1</v>
      </c>
      <c r="G12" s="10"/>
      <c r="H12" s="12"/>
      <c r="I12" s="12"/>
      <c r="J12" s="11" t="s">
        <v>38</v>
      </c>
      <c r="K12" s="10" t="s">
        <v>21</v>
      </c>
      <c r="L12" s="11" t="s">
        <v>22</v>
      </c>
      <c r="M12" s="10"/>
      <c r="N12" s="10"/>
      <c r="O12" s="10"/>
      <c r="P12" s="10"/>
      <c r="Q12" s="13"/>
    </row>
    <row r="13" spans="1:17" ht="19.2" customHeight="1">
      <c r="A13" s="9" t="s">
        <v>41</v>
      </c>
      <c r="B13" s="10" t="str">
        <f>HYPERLINK("https://drive.google.com/file/d/1-4I09PaRw6D7etPFVFnek86NkViTFJCu/view?usp=drivesdk","20260707_172206.jpg")</f>
        <v>20260707_172206.jpg</v>
      </c>
      <c r="C13" s="11" t="s">
        <v>42</v>
      </c>
      <c r="D13" s="11" t="s">
        <v>43</v>
      </c>
      <c r="E13" s="11" t="s">
        <v>20</v>
      </c>
      <c r="F13" s="10">
        <v>1</v>
      </c>
      <c r="G13" s="10"/>
      <c r="H13" s="12"/>
      <c r="I13" s="12"/>
      <c r="J13" s="11" t="s">
        <v>43</v>
      </c>
      <c r="K13" s="10" t="s">
        <v>21</v>
      </c>
      <c r="L13" s="11" t="s">
        <v>22</v>
      </c>
      <c r="M13" s="10"/>
      <c r="N13" s="10"/>
      <c r="O13" s="10"/>
      <c r="P13" s="10"/>
      <c r="Q13" s="13"/>
    </row>
    <row r="14" spans="1:17" ht="19.2" customHeight="1">
      <c r="A14" s="9" t="s">
        <v>44</v>
      </c>
      <c r="B14" s="10"/>
      <c r="C14" s="11" t="s">
        <v>45</v>
      </c>
      <c r="D14" s="11" t="s">
        <v>46</v>
      </c>
      <c r="E14" s="11" t="s">
        <v>20</v>
      </c>
      <c r="F14" s="10">
        <v>1</v>
      </c>
      <c r="G14" s="10"/>
      <c r="H14" s="12"/>
      <c r="I14" s="12"/>
      <c r="J14" s="11" t="s">
        <v>46</v>
      </c>
      <c r="K14" s="10" t="s">
        <v>21</v>
      </c>
      <c r="L14" s="11" t="s">
        <v>47</v>
      </c>
      <c r="M14" s="10"/>
      <c r="N14" s="10"/>
      <c r="O14" s="10"/>
      <c r="P14" s="10"/>
      <c r="Q14" s="13"/>
    </row>
    <row r="15" spans="1:17" ht="19.2" customHeight="1">
      <c r="A15" s="9" t="s">
        <v>48</v>
      </c>
      <c r="B15" s="10"/>
      <c r="C15" s="11" t="s">
        <v>49</v>
      </c>
      <c r="D15" s="11" t="s">
        <v>46</v>
      </c>
      <c r="E15" s="11" t="s">
        <v>20</v>
      </c>
      <c r="F15" s="10">
        <v>1</v>
      </c>
      <c r="G15" s="10"/>
      <c r="H15" s="12"/>
      <c r="I15" s="12"/>
      <c r="J15" s="11" t="s">
        <v>46</v>
      </c>
      <c r="K15" s="10" t="s">
        <v>21</v>
      </c>
      <c r="L15" s="11" t="s">
        <v>47</v>
      </c>
      <c r="M15" s="10"/>
      <c r="N15" s="10"/>
      <c r="O15" s="10"/>
      <c r="P15" s="10"/>
      <c r="Q15" s="13"/>
    </row>
    <row r="16" spans="1:17" ht="19.2" customHeight="1">
      <c r="A16" s="9" t="s">
        <v>50</v>
      </c>
      <c r="B16" s="10" t="str">
        <f>HYPERLINK("https://drive.google.com/file/d/1_d69mTmtwZcj-i2g9TfFv4SzRA1M7KbD/view?usp=drivesdk","20260707_181251.jpg")</f>
        <v>20260707_181251.jpg</v>
      </c>
      <c r="C16" s="11" t="s">
        <v>51</v>
      </c>
      <c r="D16" s="11" t="s">
        <v>52</v>
      </c>
      <c r="E16" s="11" t="s">
        <v>20</v>
      </c>
      <c r="F16" s="10">
        <v>1</v>
      </c>
      <c r="G16" s="10"/>
      <c r="H16" s="12">
        <v>0</v>
      </c>
      <c r="I16" s="12"/>
      <c r="J16" s="11" t="s">
        <v>52</v>
      </c>
      <c r="K16" s="10" t="s">
        <v>21</v>
      </c>
      <c r="L16" s="11" t="s">
        <v>22</v>
      </c>
      <c r="M16" s="10"/>
      <c r="N16" s="10"/>
      <c r="O16" s="10"/>
      <c r="P16" s="10"/>
      <c r="Q16" s="13"/>
    </row>
    <row r="17" spans="1:17" ht="19.2" customHeight="1">
      <c r="A17" s="9" t="s">
        <v>53</v>
      </c>
      <c r="B17" s="10"/>
      <c r="C17" s="11" t="s">
        <v>54</v>
      </c>
      <c r="D17" s="11" t="s">
        <v>52</v>
      </c>
      <c r="E17" s="11" t="s">
        <v>20</v>
      </c>
      <c r="F17" s="10">
        <v>1</v>
      </c>
      <c r="G17" s="10"/>
      <c r="H17" s="12">
        <v>0</v>
      </c>
      <c r="I17" s="12"/>
      <c r="J17" s="11" t="s">
        <v>52</v>
      </c>
      <c r="K17" s="10" t="s">
        <v>21</v>
      </c>
      <c r="L17" s="11" t="s">
        <v>26</v>
      </c>
      <c r="M17" s="10"/>
      <c r="N17" s="10"/>
      <c r="O17" s="10"/>
      <c r="P17" s="10"/>
      <c r="Q17" s="13"/>
    </row>
    <row r="18" spans="1:17" ht="19.2" customHeight="1">
      <c r="A18" s="19" t="s">
        <v>55</v>
      </c>
      <c r="B18" s="10" t="str">
        <f>HYPERLINK("https://drive.google.com/file/d/1CwolruOf1ZlcWudBmvnBJx89VELuE67T/view?usp=drivesdk","20260707_144017.jpg")</f>
        <v>20260707_144017.jpg</v>
      </c>
      <c r="C18" s="21" t="s">
        <v>56</v>
      </c>
      <c r="D18" s="21" t="s">
        <v>57</v>
      </c>
      <c r="E18" s="21" t="s">
        <v>20</v>
      </c>
      <c r="F18" s="23">
        <v>1</v>
      </c>
      <c r="G18" s="23"/>
      <c r="H18" s="25"/>
      <c r="I18" s="25"/>
      <c r="J18" s="21" t="s">
        <v>57</v>
      </c>
      <c r="K18" s="23" t="s">
        <v>21</v>
      </c>
      <c r="L18" s="21" t="s">
        <v>22</v>
      </c>
      <c r="M18" s="23"/>
      <c r="N18" s="23"/>
      <c r="O18" s="23"/>
      <c r="P18" s="23"/>
      <c r="Q18" s="27"/>
    </row>
    <row r="19" spans="1:17" ht="19.2" customHeight="1">
      <c r="A19" s="19"/>
      <c r="B19" s="10" t="str">
        <f>HYPERLINK("https://drive.google.com/file/d/1-8n5L7u6o7UVhG8Pkxou77bztToSM1QI/view?usp=drivesdk","20260707_144026.jpg")</f>
        <v>20260707_144026.jpg</v>
      </c>
      <c r="C19" s="21"/>
      <c r="D19" s="21"/>
      <c r="E19" s="21"/>
      <c r="F19" s="23"/>
      <c r="G19" s="23"/>
      <c r="H19" s="25"/>
      <c r="I19" s="25"/>
      <c r="J19" s="21"/>
      <c r="K19" s="23"/>
      <c r="L19" s="21"/>
      <c r="M19" s="23"/>
      <c r="N19" s="23"/>
      <c r="O19" s="23"/>
      <c r="P19" s="23"/>
      <c r="Q19" s="27"/>
    </row>
    <row r="20" spans="1:17" ht="19.2" customHeight="1">
      <c r="A20" s="19"/>
      <c r="B20" s="10" t="str">
        <f>HYPERLINK("https://drive.google.com/file/d/18Dox4vpL8ofGqG3pJmM2eusXXDPce0c-/view?usp=drivesdk","20260707_144034.jpg")</f>
        <v>20260707_144034.jpg</v>
      </c>
      <c r="C20" s="21"/>
      <c r="D20" s="21"/>
      <c r="E20" s="21"/>
      <c r="F20" s="23"/>
      <c r="G20" s="23"/>
      <c r="H20" s="25"/>
      <c r="I20" s="25"/>
      <c r="J20" s="21"/>
      <c r="K20" s="23"/>
      <c r="L20" s="21"/>
      <c r="M20" s="23"/>
      <c r="N20" s="23"/>
      <c r="O20" s="23"/>
      <c r="P20" s="23"/>
      <c r="Q20" s="27"/>
    </row>
    <row r="21" spans="1:17" ht="19.2" customHeight="1">
      <c r="A21" s="9" t="s">
        <v>58</v>
      </c>
      <c r="B21" s="10"/>
      <c r="C21" s="11" t="s">
        <v>59</v>
      </c>
      <c r="D21" s="11" t="s">
        <v>60</v>
      </c>
      <c r="E21" s="11" t="s">
        <v>20</v>
      </c>
      <c r="F21" s="10">
        <v>1</v>
      </c>
      <c r="G21" s="10"/>
      <c r="H21" s="12"/>
      <c r="I21" s="12"/>
      <c r="J21" s="11" t="s">
        <v>60</v>
      </c>
      <c r="K21" s="10" t="s">
        <v>21</v>
      </c>
      <c r="L21" s="11" t="s">
        <v>26</v>
      </c>
      <c r="M21" s="10"/>
      <c r="N21" s="10"/>
      <c r="O21" s="10"/>
      <c r="P21" s="10"/>
      <c r="Q21" s="13"/>
    </row>
    <row r="22" spans="1:17" ht="19.2" customHeight="1">
      <c r="A22" s="9" t="s">
        <v>61</v>
      </c>
      <c r="B22" s="10"/>
      <c r="C22" s="11" t="s">
        <v>62</v>
      </c>
      <c r="D22" s="11" t="s">
        <v>60</v>
      </c>
      <c r="E22" s="11" t="s">
        <v>20</v>
      </c>
      <c r="F22" s="10">
        <v>1</v>
      </c>
      <c r="G22" s="10"/>
      <c r="H22" s="12"/>
      <c r="I22" s="12"/>
      <c r="J22" s="11" t="s">
        <v>60</v>
      </c>
      <c r="K22" s="10" t="s">
        <v>21</v>
      </c>
      <c r="L22" s="11" t="s">
        <v>26</v>
      </c>
      <c r="M22" s="10"/>
      <c r="N22" s="10"/>
      <c r="O22" s="10"/>
      <c r="P22" s="10"/>
      <c r="Q22" s="13"/>
    </row>
    <row r="23" spans="1:17" ht="19.2" customHeight="1">
      <c r="A23" s="9" t="s">
        <v>63</v>
      </c>
      <c r="B23" s="10" t="str">
        <f>HYPERLINK("https://drive.google.com/file/d/1aUQgAsJhb3Y0d1dg4MqBPK4CmnNsyEPL/view?usp=drivesdk","20260707_172214.jpg")</f>
        <v>20260707_172214.jpg</v>
      </c>
      <c r="C23" s="11" t="s">
        <v>64</v>
      </c>
      <c r="D23" s="11" t="s">
        <v>60</v>
      </c>
      <c r="E23" s="11" t="s">
        <v>20</v>
      </c>
      <c r="F23" s="10">
        <v>1</v>
      </c>
      <c r="G23" s="10"/>
      <c r="H23" s="12"/>
      <c r="I23" s="12"/>
      <c r="J23" s="11" t="s">
        <v>60</v>
      </c>
      <c r="K23" s="10" t="s">
        <v>21</v>
      </c>
      <c r="L23" s="11" t="s">
        <v>22</v>
      </c>
      <c r="M23" s="10"/>
      <c r="N23" s="10"/>
      <c r="O23" s="10"/>
      <c r="P23" s="10"/>
      <c r="Q23" s="13"/>
    </row>
    <row r="24" spans="1:17" ht="19.2" customHeight="1">
      <c r="A24" s="19" t="s">
        <v>65</v>
      </c>
      <c r="B24" s="10" t="str">
        <f>HYPERLINK("https://drive.google.com/file/d/16DL3Y7iP8ClLKMbIaA0_9dFQ2BuY3sGZ/view?usp=drivesdk","20260707_175623.jpg")</f>
        <v>20260707_175623.jpg</v>
      </c>
      <c r="C24" s="21" t="s">
        <v>66</v>
      </c>
      <c r="D24" s="21" t="s">
        <v>60</v>
      </c>
      <c r="E24" s="21" t="s">
        <v>20</v>
      </c>
      <c r="F24" s="23">
        <v>1</v>
      </c>
      <c r="G24" s="23"/>
      <c r="H24" s="25"/>
      <c r="I24" s="25"/>
      <c r="J24" s="21" t="s">
        <v>60</v>
      </c>
      <c r="K24" s="23" t="s">
        <v>21</v>
      </c>
      <c r="L24" s="21" t="s">
        <v>22</v>
      </c>
      <c r="M24" s="23"/>
      <c r="N24" s="23"/>
      <c r="O24" s="23"/>
      <c r="P24" s="23"/>
      <c r="Q24" s="27"/>
    </row>
    <row r="25" spans="1:17" ht="19.2" customHeight="1">
      <c r="A25" s="19"/>
      <c r="B25" s="10" t="str">
        <f>HYPERLINK("https://drive.google.com/file/d/1Mut30BGjeyOqBd81b2rUTEkreGjShMOR/view?usp=drivesdk","20260707_175628.jpg")</f>
        <v>20260707_175628.jpg</v>
      </c>
      <c r="C25" s="21"/>
      <c r="D25" s="21"/>
      <c r="E25" s="21"/>
      <c r="F25" s="23"/>
      <c r="G25" s="23"/>
      <c r="H25" s="25"/>
      <c r="I25" s="25"/>
      <c r="J25" s="21"/>
      <c r="K25" s="23"/>
      <c r="L25" s="21"/>
      <c r="M25" s="23"/>
      <c r="N25" s="23"/>
      <c r="O25" s="23"/>
      <c r="P25" s="23"/>
      <c r="Q25" s="27"/>
    </row>
    <row r="26" spans="1:17" ht="19.2" customHeight="1">
      <c r="A26" s="9" t="s">
        <v>67</v>
      </c>
      <c r="B26" s="10"/>
      <c r="C26" s="11" t="s">
        <v>68</v>
      </c>
      <c r="D26" s="11" t="s">
        <v>69</v>
      </c>
      <c r="E26" s="11" t="s">
        <v>20</v>
      </c>
      <c r="F26" s="10">
        <v>1</v>
      </c>
      <c r="G26" s="10"/>
      <c r="H26" s="12">
        <v>1000</v>
      </c>
      <c r="I26" s="12"/>
      <c r="J26" s="11" t="s">
        <v>69</v>
      </c>
      <c r="K26" s="10" t="s">
        <v>21</v>
      </c>
      <c r="L26" s="11" t="s">
        <v>26</v>
      </c>
      <c r="M26" s="10"/>
      <c r="N26" s="10"/>
      <c r="O26" s="10"/>
      <c r="P26" s="10"/>
      <c r="Q26" s="13"/>
    </row>
    <row r="27" spans="1:17" ht="19.2" customHeight="1">
      <c r="A27" s="9" t="s">
        <v>70</v>
      </c>
      <c r="B27" s="10"/>
      <c r="C27" s="11" t="s">
        <v>71</v>
      </c>
      <c r="D27" s="11" t="s">
        <v>72</v>
      </c>
      <c r="E27" s="11" t="s">
        <v>20</v>
      </c>
      <c r="F27" s="10">
        <v>1</v>
      </c>
      <c r="G27" s="10"/>
      <c r="H27" s="12">
        <v>0</v>
      </c>
      <c r="I27" s="12"/>
      <c r="J27" s="11" t="s">
        <v>72</v>
      </c>
      <c r="K27" s="10" t="s">
        <v>21</v>
      </c>
      <c r="L27" s="11" t="s">
        <v>73</v>
      </c>
      <c r="M27" s="10"/>
      <c r="N27" s="10"/>
      <c r="O27" s="10"/>
      <c r="P27" s="10"/>
      <c r="Q27" s="13"/>
    </row>
    <row r="28" spans="1:17" ht="19.2" customHeight="1">
      <c r="A28" s="9" t="s">
        <v>74</v>
      </c>
      <c r="B28" s="10"/>
      <c r="C28" s="11" t="s">
        <v>75</v>
      </c>
      <c r="D28" s="11" t="s">
        <v>72</v>
      </c>
      <c r="E28" s="11" t="s">
        <v>20</v>
      </c>
      <c r="F28" s="10">
        <v>1</v>
      </c>
      <c r="G28" s="10"/>
      <c r="H28" s="12">
        <v>0</v>
      </c>
      <c r="I28" s="12"/>
      <c r="J28" s="11" t="s">
        <v>72</v>
      </c>
      <c r="K28" s="10" t="s">
        <v>21</v>
      </c>
      <c r="L28" s="11" t="s">
        <v>76</v>
      </c>
      <c r="M28" s="10"/>
      <c r="N28" s="10"/>
      <c r="O28" s="10"/>
      <c r="P28" s="10"/>
      <c r="Q28" s="13"/>
    </row>
    <row r="29" spans="1:17" ht="19.2" customHeight="1">
      <c r="A29" s="19" t="s">
        <v>77</v>
      </c>
      <c r="B29" s="10" t="str">
        <f>HYPERLINK("https://drive.google.com/file/d/1VBFu6ota0WKro-IlvtQoYJqkkaTdah9y/view?usp=drivesdk","20260707_180225.jpg")</f>
        <v>20260707_180225.jpg</v>
      </c>
      <c r="C29" s="21" t="s">
        <v>78</v>
      </c>
      <c r="D29" s="21" t="s">
        <v>79</v>
      </c>
      <c r="E29" s="21" t="s">
        <v>20</v>
      </c>
      <c r="F29" s="23">
        <v>1</v>
      </c>
      <c r="G29" s="23"/>
      <c r="H29" s="25">
        <v>7000</v>
      </c>
      <c r="I29" s="25"/>
      <c r="J29" s="21" t="s">
        <v>79</v>
      </c>
      <c r="K29" s="23" t="s">
        <v>21</v>
      </c>
      <c r="L29" s="21" t="s">
        <v>22</v>
      </c>
      <c r="M29" s="23"/>
      <c r="N29" s="23"/>
      <c r="O29" s="23"/>
      <c r="P29" s="23"/>
      <c r="Q29" s="27"/>
    </row>
    <row r="30" spans="1:17" ht="19.2" customHeight="1">
      <c r="A30" s="19"/>
      <c r="B30" s="10" t="str">
        <f>HYPERLINK("https://drive.google.com/file/d/12riPa3ekhRDdoHRqcpduInathpUufa83/view?usp=drivesdk","20260707_180229.jpg")</f>
        <v>20260707_180229.jpg</v>
      </c>
      <c r="C30" s="21"/>
      <c r="D30" s="21"/>
      <c r="E30" s="21"/>
      <c r="F30" s="23"/>
      <c r="G30" s="23"/>
      <c r="H30" s="25"/>
      <c r="I30" s="25"/>
      <c r="J30" s="21"/>
      <c r="K30" s="23"/>
      <c r="L30" s="21"/>
      <c r="M30" s="23"/>
      <c r="N30" s="23"/>
      <c r="O30" s="23"/>
      <c r="P30" s="23"/>
      <c r="Q30" s="27"/>
    </row>
    <row r="31" spans="1:17" ht="19.2" customHeight="1">
      <c r="A31" s="19"/>
      <c r="B31" s="10" t="str">
        <f>HYPERLINK("https://drive.google.com/file/d/1pfxcaa620dZ1ixNWbxzBXMR8O1N9HA3b/view?usp=drivesdk","20260707_180650.jpg")</f>
        <v>20260707_180650.jpg</v>
      </c>
      <c r="C31" s="21"/>
      <c r="D31" s="21"/>
      <c r="E31" s="21"/>
      <c r="F31" s="23"/>
      <c r="G31" s="23"/>
      <c r="H31" s="25"/>
      <c r="I31" s="25"/>
      <c r="J31" s="21"/>
      <c r="K31" s="23"/>
      <c r="L31" s="21"/>
      <c r="M31" s="23"/>
      <c r="N31" s="23"/>
      <c r="O31" s="23"/>
      <c r="P31" s="23"/>
      <c r="Q31" s="27"/>
    </row>
    <row r="32" spans="1:17" ht="19.2" customHeight="1">
      <c r="A32" s="19" t="s">
        <v>80</v>
      </c>
      <c r="B32" s="10" t="str">
        <f>HYPERLINK("https://drive.google.com/file/d/196MLr5gHzFjiQF_QVQCd0mI87VENdO8e/view?usp=drivesdk","20260707_141756.jpg")</f>
        <v>20260707_141756.jpg</v>
      </c>
      <c r="C32" s="21" t="s">
        <v>81</v>
      </c>
      <c r="D32" s="21" t="s">
        <v>82</v>
      </c>
      <c r="E32" s="21" t="s">
        <v>20</v>
      </c>
      <c r="F32" s="23">
        <v>1</v>
      </c>
      <c r="G32" s="23"/>
      <c r="H32" s="25">
        <v>0</v>
      </c>
      <c r="I32" s="25"/>
      <c r="J32" s="21" t="s">
        <v>82</v>
      </c>
      <c r="K32" s="23" t="s">
        <v>21</v>
      </c>
      <c r="L32" s="21" t="s">
        <v>22</v>
      </c>
      <c r="M32" s="23"/>
      <c r="N32" s="23"/>
      <c r="O32" s="23"/>
      <c r="P32" s="23"/>
      <c r="Q32" s="27"/>
    </row>
    <row r="33" spans="1:17" ht="19.2" customHeight="1">
      <c r="A33" s="19"/>
      <c r="B33" s="10" t="str">
        <f>HYPERLINK("https://drive.google.com/file/d/1XonGJIgjeI7t-pktVk47VMnLY7USFbM_/view?usp=drivesdk","20260707_141803.jpg")</f>
        <v>20260707_141803.jpg</v>
      </c>
      <c r="C33" s="21"/>
      <c r="D33" s="21"/>
      <c r="E33" s="21"/>
      <c r="F33" s="23"/>
      <c r="G33" s="23"/>
      <c r="H33" s="25"/>
      <c r="I33" s="25"/>
      <c r="J33" s="21"/>
      <c r="K33" s="23"/>
      <c r="L33" s="21"/>
      <c r="M33" s="23"/>
      <c r="N33" s="23"/>
      <c r="O33" s="23"/>
      <c r="P33" s="23"/>
      <c r="Q33" s="27"/>
    </row>
    <row r="34" spans="1:17" ht="19.2" customHeight="1">
      <c r="A34" s="19" t="s">
        <v>83</v>
      </c>
      <c r="B34" s="10" t="str">
        <f>HYPERLINK("https://drive.google.com/file/d/1Oe9fujZPzzgxtG1ms6syNrumD2_0-D_i/view?usp=drivesdk","20260707_141733.jpg")</f>
        <v>20260707_141733.jpg</v>
      </c>
      <c r="C34" s="21" t="s">
        <v>84</v>
      </c>
      <c r="D34" s="21" t="s">
        <v>82</v>
      </c>
      <c r="E34" s="21" t="s">
        <v>20</v>
      </c>
      <c r="F34" s="23">
        <v>1</v>
      </c>
      <c r="G34" s="23"/>
      <c r="H34" s="25">
        <v>0</v>
      </c>
      <c r="I34" s="25"/>
      <c r="J34" s="21" t="s">
        <v>82</v>
      </c>
      <c r="K34" s="23" t="s">
        <v>21</v>
      </c>
      <c r="L34" s="21" t="s">
        <v>22</v>
      </c>
      <c r="M34" s="23"/>
      <c r="N34" s="23"/>
      <c r="O34" s="23"/>
      <c r="P34" s="23"/>
      <c r="Q34" s="27"/>
    </row>
    <row r="35" spans="1:17" ht="19.2" customHeight="1">
      <c r="A35" s="19"/>
      <c r="B35" s="10" t="str">
        <f>HYPERLINK("https://drive.google.com/file/d/1l2KptKl4sKEJweAqvVltJBWDjqA7A2Hb/view?usp=drivesdk","20260707_141739.jpg")</f>
        <v>20260707_141739.jpg</v>
      </c>
      <c r="C35" s="21"/>
      <c r="D35" s="21"/>
      <c r="E35" s="21"/>
      <c r="F35" s="23"/>
      <c r="G35" s="23"/>
      <c r="H35" s="25"/>
      <c r="I35" s="25"/>
      <c r="J35" s="21"/>
      <c r="K35" s="23"/>
      <c r="L35" s="21"/>
      <c r="M35" s="23"/>
      <c r="N35" s="23"/>
      <c r="O35" s="23"/>
      <c r="P35" s="23"/>
      <c r="Q35" s="27"/>
    </row>
    <row r="36" spans="1:17" ht="19.2" customHeight="1">
      <c r="A36" s="19"/>
      <c r="B36" s="10" t="str">
        <f>HYPERLINK("https://drive.google.com/file/d/1yc9a7X9p4_WpD9-fjmUG_YhfIsC03IF1/view?usp=drivesdk","20260707_141747.jpg")</f>
        <v>20260707_141747.jpg</v>
      </c>
      <c r="C36" s="21"/>
      <c r="D36" s="21"/>
      <c r="E36" s="21"/>
      <c r="F36" s="23"/>
      <c r="G36" s="23"/>
      <c r="H36" s="25"/>
      <c r="I36" s="25"/>
      <c r="J36" s="21"/>
      <c r="K36" s="23"/>
      <c r="L36" s="21"/>
      <c r="M36" s="23"/>
      <c r="N36" s="23"/>
      <c r="O36" s="23"/>
      <c r="P36" s="23"/>
      <c r="Q36" s="27"/>
    </row>
    <row r="37" spans="1:17" ht="19.2" customHeight="1">
      <c r="A37" s="9" t="s">
        <v>85</v>
      </c>
      <c r="B37" s="10"/>
      <c r="C37" s="11" t="s">
        <v>84</v>
      </c>
      <c r="D37" s="11" t="s">
        <v>82</v>
      </c>
      <c r="E37" s="11" t="s">
        <v>20</v>
      </c>
      <c r="F37" s="10">
        <v>1</v>
      </c>
      <c r="G37" s="10"/>
      <c r="H37" s="12">
        <v>0</v>
      </c>
      <c r="I37" s="12"/>
      <c r="J37" s="11" t="s">
        <v>82</v>
      </c>
      <c r="K37" s="10" t="s">
        <v>21</v>
      </c>
      <c r="L37" s="11" t="s">
        <v>26</v>
      </c>
      <c r="M37" s="10"/>
      <c r="N37" s="10"/>
      <c r="O37" s="10"/>
      <c r="P37" s="10"/>
      <c r="Q37" s="13"/>
    </row>
    <row r="38" spans="1:17" ht="19.2" customHeight="1">
      <c r="A38" s="19" t="s">
        <v>86</v>
      </c>
      <c r="B38" s="10" t="str">
        <f>HYPERLINK("https://drive.google.com/file/d/1nismORJiP4XE1ocLiS7OrHD2u0BGQ207/view?usp=drivesdk","20260707_121611.jpg")</f>
        <v>20260707_121611.jpg</v>
      </c>
      <c r="C38" s="21" t="s">
        <v>87</v>
      </c>
      <c r="D38" s="21" t="s">
        <v>88</v>
      </c>
      <c r="E38" s="21" t="s">
        <v>20</v>
      </c>
      <c r="F38" s="23">
        <v>1</v>
      </c>
      <c r="G38" s="23"/>
      <c r="H38" s="25">
        <v>0</v>
      </c>
      <c r="I38" s="25"/>
      <c r="J38" s="21" t="s">
        <v>88</v>
      </c>
      <c r="K38" s="23" t="s">
        <v>21</v>
      </c>
      <c r="L38" s="21" t="s">
        <v>22</v>
      </c>
      <c r="M38" s="23"/>
      <c r="N38" s="23"/>
      <c r="O38" s="23"/>
      <c r="P38" s="23"/>
      <c r="Q38" s="27"/>
    </row>
    <row r="39" spans="1:17" ht="19.2" customHeight="1">
      <c r="A39" s="19"/>
      <c r="B39" s="10" t="str">
        <f>HYPERLINK("https://drive.google.com/file/d/16He0EfJgYVuhTfBzgJDgs_V-kgElRIwQ/view?usp=drivesdk","20260707_121630.jpg")</f>
        <v>20260707_121630.jpg</v>
      </c>
      <c r="C39" s="21"/>
      <c r="D39" s="21"/>
      <c r="E39" s="21"/>
      <c r="F39" s="23"/>
      <c r="G39" s="23"/>
      <c r="H39" s="25"/>
      <c r="I39" s="25"/>
      <c r="J39" s="21"/>
      <c r="K39" s="23"/>
      <c r="L39" s="21"/>
      <c r="M39" s="23"/>
      <c r="N39" s="23"/>
      <c r="O39" s="23"/>
      <c r="P39" s="23"/>
      <c r="Q39" s="27"/>
    </row>
    <row r="40" spans="1:17" ht="19.2" customHeight="1">
      <c r="A40" s="19"/>
      <c r="B40" s="10" t="str">
        <f>HYPERLINK("https://drive.google.com/file/d/1StyabH6L4ba0cnMgMXmNYY1tGIZZM5oz/view?usp=drivesdk","20260707_121636.jpg")</f>
        <v>20260707_121636.jpg</v>
      </c>
      <c r="C40" s="21"/>
      <c r="D40" s="21"/>
      <c r="E40" s="21"/>
      <c r="F40" s="23"/>
      <c r="G40" s="23"/>
      <c r="H40" s="25"/>
      <c r="I40" s="25"/>
      <c r="J40" s="21"/>
      <c r="K40" s="23"/>
      <c r="L40" s="21"/>
      <c r="M40" s="23"/>
      <c r="N40" s="23"/>
      <c r="O40" s="23"/>
      <c r="P40" s="23"/>
      <c r="Q40" s="27"/>
    </row>
    <row r="41" spans="1:17" ht="19.2" customHeight="1">
      <c r="A41" s="9" t="s">
        <v>89</v>
      </c>
      <c r="B41" s="10"/>
      <c r="C41" s="11" t="s">
        <v>90</v>
      </c>
      <c r="D41" s="11" t="s">
        <v>88</v>
      </c>
      <c r="E41" s="11" t="s">
        <v>20</v>
      </c>
      <c r="F41" s="10">
        <v>1</v>
      </c>
      <c r="G41" s="10"/>
      <c r="H41" s="12">
        <v>0</v>
      </c>
      <c r="I41" s="12"/>
      <c r="J41" s="11" t="s">
        <v>88</v>
      </c>
      <c r="K41" s="10" t="s">
        <v>21</v>
      </c>
      <c r="L41" s="11" t="s">
        <v>26</v>
      </c>
      <c r="M41" s="10"/>
      <c r="N41" s="10"/>
      <c r="O41" s="10"/>
      <c r="P41" s="10"/>
      <c r="Q41" s="13"/>
    </row>
    <row r="42" spans="1:17" ht="19.2" customHeight="1">
      <c r="A42" s="9" t="s">
        <v>91</v>
      </c>
      <c r="B42" s="10"/>
      <c r="C42" s="11" t="s">
        <v>92</v>
      </c>
      <c r="D42" s="11" t="s">
        <v>88</v>
      </c>
      <c r="E42" s="11" t="s">
        <v>20</v>
      </c>
      <c r="F42" s="10">
        <v>1</v>
      </c>
      <c r="G42" s="10"/>
      <c r="H42" s="12">
        <v>0</v>
      </c>
      <c r="I42" s="12"/>
      <c r="J42" s="11" t="s">
        <v>88</v>
      </c>
      <c r="K42" s="10" t="s">
        <v>21</v>
      </c>
      <c r="L42" s="11" t="s">
        <v>26</v>
      </c>
      <c r="M42" s="10"/>
      <c r="N42" s="10"/>
      <c r="O42" s="10"/>
      <c r="P42" s="10"/>
      <c r="Q42" s="13"/>
    </row>
    <row r="43" spans="1:17" ht="19.2" customHeight="1">
      <c r="A43" s="19" t="s">
        <v>93</v>
      </c>
      <c r="B43" s="10" t="str">
        <f>HYPERLINK("https://drive.google.com/file/d/1Cx2n62_KM1CUnsyu1ACgUY1SMYPwt1SI/view?usp=drivesdk","20260707_121521.jpg")</f>
        <v>20260707_121521.jpg</v>
      </c>
      <c r="C43" s="21" t="s">
        <v>94</v>
      </c>
      <c r="D43" s="21" t="s">
        <v>88</v>
      </c>
      <c r="E43" s="21" t="s">
        <v>20</v>
      </c>
      <c r="F43" s="23">
        <v>1</v>
      </c>
      <c r="G43" s="23"/>
      <c r="H43" s="25">
        <v>0</v>
      </c>
      <c r="I43" s="25"/>
      <c r="J43" s="21" t="s">
        <v>88</v>
      </c>
      <c r="K43" s="23" t="s">
        <v>21</v>
      </c>
      <c r="L43" s="21" t="s">
        <v>22</v>
      </c>
      <c r="M43" s="23"/>
      <c r="N43" s="23"/>
      <c r="O43" s="23"/>
      <c r="P43" s="23"/>
      <c r="Q43" s="27"/>
    </row>
    <row r="44" spans="1:17" ht="19.2" customHeight="1">
      <c r="A44" s="19"/>
      <c r="B44" s="10" t="str">
        <f>HYPERLINK("https://drive.google.com/file/d/1A0zZIQOGG0gGcb6nBt0E0wMBzlcI1A2d/view?usp=drivesdk","20260707_121533.jpg")</f>
        <v>20260707_121533.jpg</v>
      </c>
      <c r="C44" s="21"/>
      <c r="D44" s="21"/>
      <c r="E44" s="21"/>
      <c r="F44" s="23"/>
      <c r="G44" s="23"/>
      <c r="H44" s="25"/>
      <c r="I44" s="25"/>
      <c r="J44" s="21"/>
      <c r="K44" s="23"/>
      <c r="L44" s="21"/>
      <c r="M44" s="23"/>
      <c r="N44" s="23"/>
      <c r="O44" s="23"/>
      <c r="P44" s="23"/>
      <c r="Q44" s="27"/>
    </row>
    <row r="45" spans="1:17" ht="19.2" customHeight="1">
      <c r="A45" s="19"/>
      <c r="B45" s="10" t="str">
        <f>HYPERLINK("https://drive.google.com/file/d/1eeO7Bbrs8Jje_r2yfKtrixl0AT0NyOYv/view?usp=drivesdk","20260707_121541.jpg")</f>
        <v>20260707_121541.jpg</v>
      </c>
      <c r="C45" s="21"/>
      <c r="D45" s="21"/>
      <c r="E45" s="21"/>
      <c r="F45" s="23"/>
      <c r="G45" s="23"/>
      <c r="H45" s="25"/>
      <c r="I45" s="25"/>
      <c r="J45" s="21"/>
      <c r="K45" s="23"/>
      <c r="L45" s="21"/>
      <c r="M45" s="23"/>
      <c r="N45" s="23"/>
      <c r="O45" s="23"/>
      <c r="P45" s="23"/>
      <c r="Q45" s="27"/>
    </row>
    <row r="46" spans="1:17" ht="19.2" customHeight="1">
      <c r="A46" s="9" t="s">
        <v>95</v>
      </c>
      <c r="B46" s="10"/>
      <c r="C46" s="11" t="s">
        <v>96</v>
      </c>
      <c r="D46" s="11" t="s">
        <v>88</v>
      </c>
      <c r="E46" s="11" t="s">
        <v>20</v>
      </c>
      <c r="F46" s="10">
        <v>1</v>
      </c>
      <c r="G46" s="10"/>
      <c r="H46" s="12">
        <v>0</v>
      </c>
      <c r="I46" s="12"/>
      <c r="J46" s="11" t="s">
        <v>88</v>
      </c>
      <c r="K46" s="10" t="s">
        <v>21</v>
      </c>
      <c r="L46" s="11" t="s">
        <v>47</v>
      </c>
      <c r="M46" s="10"/>
      <c r="N46" s="10"/>
      <c r="O46" s="10"/>
      <c r="P46" s="10"/>
      <c r="Q46" s="13"/>
    </row>
    <row r="47" spans="1:17" ht="19.2" customHeight="1">
      <c r="A47" s="9" t="s">
        <v>97</v>
      </c>
      <c r="B47" s="10"/>
      <c r="C47" s="11" t="s">
        <v>98</v>
      </c>
      <c r="D47" s="11" t="s">
        <v>88</v>
      </c>
      <c r="E47" s="11" t="s">
        <v>20</v>
      </c>
      <c r="F47" s="10">
        <v>1</v>
      </c>
      <c r="G47" s="10"/>
      <c r="H47" s="12">
        <v>0</v>
      </c>
      <c r="I47" s="12"/>
      <c r="J47" s="11" t="s">
        <v>88</v>
      </c>
      <c r="K47" s="10" t="s">
        <v>21</v>
      </c>
      <c r="L47" s="11" t="s">
        <v>26</v>
      </c>
      <c r="M47" s="10"/>
      <c r="N47" s="10"/>
      <c r="O47" s="10"/>
      <c r="P47" s="10"/>
      <c r="Q47" s="13"/>
    </row>
    <row r="48" spans="1:17" ht="19.2" customHeight="1">
      <c r="A48" s="19" t="s">
        <v>99</v>
      </c>
      <c r="B48" s="10" t="str">
        <f>HYPERLINK("https://drive.google.com/file/d/1Tc1NgurPj7dv1-D5lKzq0J_o5UcEYdwY/view?usp=drivesdk","20260707_121451.jpg")</f>
        <v>20260707_121451.jpg</v>
      </c>
      <c r="C48" s="21" t="s">
        <v>100</v>
      </c>
      <c r="D48" s="21" t="s">
        <v>88</v>
      </c>
      <c r="E48" s="21" t="s">
        <v>20</v>
      </c>
      <c r="F48" s="23">
        <v>1</v>
      </c>
      <c r="G48" s="23"/>
      <c r="H48" s="25">
        <v>0</v>
      </c>
      <c r="I48" s="25"/>
      <c r="J48" s="21" t="s">
        <v>88</v>
      </c>
      <c r="K48" s="23" t="s">
        <v>21</v>
      </c>
      <c r="L48" s="21" t="s">
        <v>22</v>
      </c>
      <c r="M48" s="23"/>
      <c r="N48" s="23"/>
      <c r="O48" s="23"/>
      <c r="P48" s="23"/>
      <c r="Q48" s="27"/>
    </row>
    <row r="49" spans="1:17" ht="19.2" customHeight="1">
      <c r="A49" s="19"/>
      <c r="B49" s="10" t="str">
        <f>HYPERLINK("https://drive.google.com/file/d/1JNoeFY1tAJ4NTNa9l8HVIO5maFqE_4nx/view?usp=drivesdk","20260707_121503.jpg")</f>
        <v>20260707_121503.jpg</v>
      </c>
      <c r="C49" s="21"/>
      <c r="D49" s="21"/>
      <c r="E49" s="21"/>
      <c r="F49" s="23"/>
      <c r="G49" s="23"/>
      <c r="H49" s="25"/>
      <c r="I49" s="25"/>
      <c r="J49" s="21"/>
      <c r="K49" s="23"/>
      <c r="L49" s="21"/>
      <c r="M49" s="23"/>
      <c r="N49" s="23"/>
      <c r="O49" s="23"/>
      <c r="P49" s="23"/>
      <c r="Q49" s="27"/>
    </row>
    <row r="50" spans="1:17" ht="19.2" customHeight="1">
      <c r="A50" s="19"/>
      <c r="B50" s="10" t="str">
        <f>HYPERLINK("https://drive.google.com/file/d/1VnP-J3diZ7HRiZKVI76VGGbGkiP67srZ/view?usp=drivesdk","20260707_121510.jpg")</f>
        <v>20260707_121510.jpg</v>
      </c>
      <c r="C50" s="21"/>
      <c r="D50" s="21"/>
      <c r="E50" s="21"/>
      <c r="F50" s="23"/>
      <c r="G50" s="23"/>
      <c r="H50" s="25"/>
      <c r="I50" s="25"/>
      <c r="J50" s="21"/>
      <c r="K50" s="23"/>
      <c r="L50" s="21"/>
      <c r="M50" s="23"/>
      <c r="N50" s="23"/>
      <c r="O50" s="23"/>
      <c r="P50" s="23"/>
      <c r="Q50" s="27"/>
    </row>
    <row r="51" spans="1:17" ht="19.2" customHeight="1">
      <c r="A51" s="19" t="s">
        <v>101</v>
      </c>
      <c r="B51" s="10" t="str">
        <f>HYPERLINK("https://drive.google.com/file/d/1Yj8dTbIAQeSgWk8yUuC-B3I5HNwNLXTb/view?usp=drivesdk","20260707_121643.jpg")</f>
        <v>20260707_121643.jpg</v>
      </c>
      <c r="C51" s="21" t="s">
        <v>102</v>
      </c>
      <c r="D51" s="21" t="s">
        <v>88</v>
      </c>
      <c r="E51" s="21" t="s">
        <v>20</v>
      </c>
      <c r="F51" s="23">
        <v>1</v>
      </c>
      <c r="G51" s="23"/>
      <c r="H51" s="25">
        <v>0</v>
      </c>
      <c r="I51" s="25"/>
      <c r="J51" s="21" t="s">
        <v>88</v>
      </c>
      <c r="K51" s="23" t="s">
        <v>21</v>
      </c>
      <c r="L51" s="21" t="s">
        <v>22</v>
      </c>
      <c r="M51" s="23"/>
      <c r="N51" s="23"/>
      <c r="O51" s="23"/>
      <c r="P51" s="23"/>
      <c r="Q51" s="27"/>
    </row>
    <row r="52" spans="1:17" ht="19.2" customHeight="1">
      <c r="A52" s="19"/>
      <c r="B52" s="10" t="str">
        <f>HYPERLINK("https://drive.google.com/file/d/12b0giV5WHrvXQUnVWGK8NvVsImBXJFLk/view?usp=drivesdk","20260707_121649.jpg")</f>
        <v>20260707_121649.jpg</v>
      </c>
      <c r="C52" s="21"/>
      <c r="D52" s="21"/>
      <c r="E52" s="21"/>
      <c r="F52" s="23"/>
      <c r="G52" s="23"/>
      <c r="H52" s="25"/>
      <c r="I52" s="25"/>
      <c r="J52" s="21"/>
      <c r="K52" s="23"/>
      <c r="L52" s="21"/>
      <c r="M52" s="23"/>
      <c r="N52" s="23"/>
      <c r="O52" s="23"/>
      <c r="P52" s="23"/>
      <c r="Q52" s="27"/>
    </row>
    <row r="53" spans="1:17" ht="19.2" customHeight="1">
      <c r="A53" s="19"/>
      <c r="B53" s="10" t="str">
        <f>HYPERLINK("https://drive.google.com/file/d/1cOXI41co_Al-rp_ElU-WA9CmAyzRYS6Y/view?usp=drivesdk","20260707_121654.jpg")</f>
        <v>20260707_121654.jpg</v>
      </c>
      <c r="C53" s="21"/>
      <c r="D53" s="21"/>
      <c r="E53" s="21"/>
      <c r="F53" s="23"/>
      <c r="G53" s="23"/>
      <c r="H53" s="25"/>
      <c r="I53" s="25"/>
      <c r="J53" s="21"/>
      <c r="K53" s="23"/>
      <c r="L53" s="21"/>
      <c r="M53" s="23"/>
      <c r="N53" s="23"/>
      <c r="O53" s="23"/>
      <c r="P53" s="23"/>
      <c r="Q53" s="27"/>
    </row>
    <row r="54" spans="1:17" ht="19.2" customHeight="1">
      <c r="A54" s="19" t="s">
        <v>103</v>
      </c>
      <c r="B54" s="10" t="str">
        <f>HYPERLINK("https://drive.google.com/file/d/1yyhM-7hjtgJstC7NtNFP5dj7Y3q5aCgG/view?usp=drivesdk","20260707_121152.jpg")</f>
        <v>20260707_121152.jpg</v>
      </c>
      <c r="C54" s="21" t="s">
        <v>104</v>
      </c>
      <c r="D54" s="21" t="s">
        <v>105</v>
      </c>
      <c r="E54" s="21" t="s">
        <v>20</v>
      </c>
      <c r="F54" s="23">
        <v>1</v>
      </c>
      <c r="G54" s="23"/>
      <c r="H54" s="25"/>
      <c r="I54" s="25"/>
      <c r="J54" s="21" t="s">
        <v>105</v>
      </c>
      <c r="K54" s="23" t="s">
        <v>21</v>
      </c>
      <c r="L54" s="21" t="s">
        <v>106</v>
      </c>
      <c r="M54" s="23"/>
      <c r="N54" s="23"/>
      <c r="O54" s="23"/>
      <c r="P54" s="23"/>
      <c r="Q54" s="27"/>
    </row>
    <row r="55" spans="1:17" ht="19.2" customHeight="1">
      <c r="A55" s="19"/>
      <c r="B55" s="10" t="str">
        <f>HYPERLINK("https://drive.google.com/file/d/1Ez-XiqBWux8XhNynvMeoQjexx2_bukgJ/view?usp=drivesdk","20260707_121223.jpg")</f>
        <v>20260707_121223.jpg</v>
      </c>
      <c r="C55" s="21"/>
      <c r="D55" s="21"/>
      <c r="E55" s="21"/>
      <c r="F55" s="23"/>
      <c r="G55" s="23"/>
      <c r="H55" s="25"/>
      <c r="I55" s="25"/>
      <c r="J55" s="21"/>
      <c r="K55" s="23"/>
      <c r="L55" s="21"/>
      <c r="M55" s="23"/>
      <c r="N55" s="23"/>
      <c r="O55" s="23"/>
      <c r="P55" s="23"/>
      <c r="Q55" s="27"/>
    </row>
    <row r="56" spans="1:17" ht="19.2" customHeight="1">
      <c r="A56" s="19" t="s">
        <v>107</v>
      </c>
      <c r="B56" s="10" t="str">
        <f>HYPERLINK("https://drive.google.com/file/d/14uDtEaa86qOJK4jWlvr7-8nbPf3PJAN9/view?usp=drivesdk","20260707_113134.jpg")</f>
        <v>20260707_113134.jpg</v>
      </c>
      <c r="C56" s="21" t="s">
        <v>108</v>
      </c>
      <c r="D56" s="21" t="s">
        <v>109</v>
      </c>
      <c r="E56" s="21" t="s">
        <v>20</v>
      </c>
      <c r="F56" s="23">
        <v>1</v>
      </c>
      <c r="G56" s="23"/>
      <c r="H56" s="25">
        <v>4000</v>
      </c>
      <c r="I56" s="25"/>
      <c r="J56" s="21" t="s">
        <v>109</v>
      </c>
      <c r="K56" s="23" t="s">
        <v>21</v>
      </c>
      <c r="L56" s="21" t="s">
        <v>22</v>
      </c>
      <c r="M56" s="23"/>
      <c r="N56" s="23"/>
      <c r="O56" s="23"/>
      <c r="P56" s="23"/>
      <c r="Q56" s="27" t="s">
        <v>110</v>
      </c>
    </row>
    <row r="57" spans="1:17" ht="19.2" customHeight="1">
      <c r="A57" s="19"/>
      <c r="B57" s="10" t="str">
        <f>HYPERLINK("https://drive.google.com/file/d/1mk2zDDKrfaVkrkS7C6vI1msQp7SXfh3f/view?usp=drivesdk","20260707_113143.jpg")</f>
        <v>20260707_113143.jpg</v>
      </c>
      <c r="C57" s="21"/>
      <c r="D57" s="21"/>
      <c r="E57" s="21"/>
      <c r="F57" s="23"/>
      <c r="G57" s="23"/>
      <c r="H57" s="25"/>
      <c r="I57" s="25"/>
      <c r="J57" s="21"/>
      <c r="K57" s="23"/>
      <c r="L57" s="21"/>
      <c r="M57" s="23"/>
      <c r="N57" s="23"/>
      <c r="O57" s="23"/>
      <c r="P57" s="23"/>
      <c r="Q57" s="27"/>
    </row>
    <row r="58" spans="1:17" ht="19.2" customHeight="1">
      <c r="A58" s="19"/>
      <c r="B58" s="10" t="str">
        <f>HYPERLINK("https://drive.google.com/file/d/1gPv1sVasfqpIn4jd3_7KdgiupftW4BI3/view?usp=drivesdk","20260707_113211.jpg")</f>
        <v>20260707_113211.jpg</v>
      </c>
      <c r="C58" s="21"/>
      <c r="D58" s="21"/>
      <c r="E58" s="21"/>
      <c r="F58" s="23"/>
      <c r="G58" s="23"/>
      <c r="H58" s="25"/>
      <c r="I58" s="25"/>
      <c r="J58" s="21"/>
      <c r="K58" s="23"/>
      <c r="L58" s="21"/>
      <c r="M58" s="23"/>
      <c r="N58" s="23"/>
      <c r="O58" s="23"/>
      <c r="P58" s="23"/>
      <c r="Q58" s="27"/>
    </row>
    <row r="59" spans="1:17" ht="19.2" customHeight="1">
      <c r="A59" s="19"/>
      <c r="B59" s="10" t="str">
        <f>HYPERLINK("https://drive.google.com/file/d/1zOidjWL2JNcQrqCLRvh2OLbArvkRg5af/view?usp=drivesdk","20260707_113219.jpg")</f>
        <v>20260707_113219.jpg</v>
      </c>
      <c r="C59" s="21"/>
      <c r="D59" s="21"/>
      <c r="E59" s="21"/>
      <c r="F59" s="23"/>
      <c r="G59" s="23"/>
      <c r="H59" s="25"/>
      <c r="I59" s="25"/>
      <c r="J59" s="21"/>
      <c r="K59" s="23"/>
      <c r="L59" s="21"/>
      <c r="M59" s="23"/>
      <c r="N59" s="23"/>
      <c r="O59" s="23"/>
      <c r="P59" s="23"/>
      <c r="Q59" s="27"/>
    </row>
    <row r="60" spans="1:17" ht="19.2" customHeight="1">
      <c r="A60" s="19"/>
      <c r="B60" s="10" t="str">
        <f>HYPERLINK("https://drive.google.com/file/d/1sYokO5qGMyVsQz4Y9iz4kWw5ExHVqJOk/view?usp=drivesdk","20260707_170800.jpg")</f>
        <v>20260707_170800.jpg</v>
      </c>
      <c r="C60" s="21"/>
      <c r="D60" s="21"/>
      <c r="E60" s="21"/>
      <c r="F60" s="23"/>
      <c r="G60" s="23"/>
      <c r="H60" s="25"/>
      <c r="I60" s="25"/>
      <c r="J60" s="21"/>
      <c r="K60" s="23"/>
      <c r="L60" s="21"/>
      <c r="M60" s="23"/>
      <c r="N60" s="23"/>
      <c r="O60" s="23"/>
      <c r="P60" s="23"/>
      <c r="Q60" s="27"/>
    </row>
    <row r="61" spans="1:17" ht="19.2" customHeight="1">
      <c r="A61" s="19"/>
      <c r="B61" s="10" t="str">
        <f>HYPERLINK("https://drive.google.com/file/d/1e0u5dBS0PKO4qL1Gtk3pEkrhdNf0PAOx/view?usp=drivesdk","20260707_170803.jpg")</f>
        <v>20260707_170803.jpg</v>
      </c>
      <c r="C61" s="21"/>
      <c r="D61" s="21"/>
      <c r="E61" s="21"/>
      <c r="F61" s="23"/>
      <c r="G61" s="23"/>
      <c r="H61" s="25"/>
      <c r="I61" s="25"/>
      <c r="J61" s="21"/>
      <c r="K61" s="23"/>
      <c r="L61" s="21"/>
      <c r="M61" s="23"/>
      <c r="N61" s="23"/>
      <c r="O61" s="23"/>
      <c r="P61" s="23"/>
      <c r="Q61" s="27"/>
    </row>
    <row r="62" spans="1:17" ht="19.2" customHeight="1">
      <c r="A62" s="19" t="s">
        <v>111</v>
      </c>
      <c r="B62" s="10" t="str">
        <f>HYPERLINK("https://drive.google.com/file/d/1R89b_McvkeKzDvWANWcfyoVpw-nOzHK0/view?usp=drivesdk","20260707_171343.jpg")</f>
        <v>20260707_171343.jpg</v>
      </c>
      <c r="C62" s="21" t="s">
        <v>112</v>
      </c>
      <c r="D62" s="21" t="s">
        <v>113</v>
      </c>
      <c r="E62" s="21" t="s">
        <v>20</v>
      </c>
      <c r="F62" s="23">
        <v>1</v>
      </c>
      <c r="G62" s="23"/>
      <c r="H62" s="25"/>
      <c r="I62" s="25"/>
      <c r="J62" s="21" t="s">
        <v>113</v>
      </c>
      <c r="K62" s="23" t="s">
        <v>21</v>
      </c>
      <c r="L62" s="21" t="s">
        <v>22</v>
      </c>
      <c r="M62" s="23"/>
      <c r="N62" s="23"/>
      <c r="O62" s="23"/>
      <c r="P62" s="23"/>
      <c r="Q62" s="27"/>
    </row>
    <row r="63" spans="1:17" ht="19.2" customHeight="1">
      <c r="A63" s="19"/>
      <c r="B63" s="10" t="str">
        <f>HYPERLINK("https://drive.google.com/file/d/1NP2k0WuQIZ53p3O8bXMLCsGH7jKGEaIW/view?usp=drivesdk","20260707_171347.jpg")</f>
        <v>20260707_171347.jpg</v>
      </c>
      <c r="C63" s="21"/>
      <c r="D63" s="21"/>
      <c r="E63" s="21"/>
      <c r="F63" s="23"/>
      <c r="G63" s="23"/>
      <c r="H63" s="25"/>
      <c r="I63" s="25"/>
      <c r="J63" s="21"/>
      <c r="K63" s="23"/>
      <c r="L63" s="21"/>
      <c r="M63" s="23"/>
      <c r="N63" s="23"/>
      <c r="O63" s="23"/>
      <c r="P63" s="23"/>
      <c r="Q63" s="27"/>
    </row>
    <row r="64" spans="1:17" ht="19.2" customHeight="1">
      <c r="A64" s="19" t="s">
        <v>114</v>
      </c>
      <c r="B64" s="10" t="str">
        <f>HYPERLINK("https://drive.google.com/file/d/17XI15RyDACRsrPV4p1RXaHQ2Z8eWmNY4/view?usp=drivesdk","20260707_171332.jpg")</f>
        <v>20260707_171332.jpg</v>
      </c>
      <c r="C64" s="21" t="s">
        <v>115</v>
      </c>
      <c r="D64" s="21" t="s">
        <v>113</v>
      </c>
      <c r="E64" s="21" t="s">
        <v>20</v>
      </c>
      <c r="F64" s="23">
        <v>1</v>
      </c>
      <c r="G64" s="23"/>
      <c r="H64" s="25"/>
      <c r="I64" s="25"/>
      <c r="J64" s="21" t="s">
        <v>113</v>
      </c>
      <c r="K64" s="23" t="s">
        <v>21</v>
      </c>
      <c r="L64" s="21" t="s">
        <v>22</v>
      </c>
      <c r="M64" s="23"/>
      <c r="N64" s="23"/>
      <c r="O64" s="23"/>
      <c r="P64" s="23"/>
      <c r="Q64" s="27"/>
    </row>
    <row r="65" spans="1:17" ht="19.2" customHeight="1">
      <c r="A65" s="19"/>
      <c r="B65" s="10" t="str">
        <f>HYPERLINK("https://drive.google.com/file/d/10kQQzPdQjt9_9JKkWbAPXsWU4m2RQAoO/view?usp=drivesdk","20260707_171337.jpg")</f>
        <v>20260707_171337.jpg</v>
      </c>
      <c r="C65" s="21"/>
      <c r="D65" s="21"/>
      <c r="E65" s="21"/>
      <c r="F65" s="23"/>
      <c r="G65" s="23"/>
      <c r="H65" s="25"/>
      <c r="I65" s="25"/>
      <c r="J65" s="21"/>
      <c r="K65" s="23"/>
      <c r="L65" s="21"/>
      <c r="M65" s="23"/>
      <c r="N65" s="23"/>
      <c r="O65" s="23"/>
      <c r="P65" s="23"/>
      <c r="Q65" s="27"/>
    </row>
    <row r="66" spans="1:17" ht="19.2" customHeight="1">
      <c r="A66" s="19" t="s">
        <v>116</v>
      </c>
      <c r="B66" s="10" t="str">
        <f>HYPERLINK("https://drive.google.com/file/d/1ZnOM5Z4ldZbFKJ3JzmjomrpxkB-UKuhJ/view?usp=drivesdk","20260707_161912.jpg")</f>
        <v>20260707_161912.jpg</v>
      </c>
      <c r="C66" s="21" t="s">
        <v>117</v>
      </c>
      <c r="D66" s="21" t="s">
        <v>105</v>
      </c>
      <c r="E66" s="21" t="s">
        <v>20</v>
      </c>
      <c r="F66" s="23">
        <v>1</v>
      </c>
      <c r="G66" s="23"/>
      <c r="H66" s="25">
        <v>21000</v>
      </c>
      <c r="I66" s="25"/>
      <c r="J66" s="21" t="s">
        <v>105</v>
      </c>
      <c r="K66" s="23" t="s">
        <v>21</v>
      </c>
      <c r="L66" s="21" t="s">
        <v>22</v>
      </c>
      <c r="M66" s="23"/>
      <c r="N66" s="23"/>
      <c r="O66" s="23"/>
      <c r="P66" s="23"/>
      <c r="Q66" s="27" t="s">
        <v>118</v>
      </c>
    </row>
    <row r="67" spans="1:17" ht="19.2" customHeight="1">
      <c r="A67" s="19"/>
      <c r="B67" s="10" t="str">
        <f>HYPERLINK("https://drive.google.com/file/d/1iC0pkEYeOfD1TDX3nJKXiIH20CTYggLz/view?usp=drivesdk","20260707_161921.jpg")</f>
        <v>20260707_161921.jpg</v>
      </c>
      <c r="C67" s="21"/>
      <c r="D67" s="21"/>
      <c r="E67" s="21"/>
      <c r="F67" s="23"/>
      <c r="G67" s="23"/>
      <c r="H67" s="25"/>
      <c r="I67" s="25"/>
      <c r="J67" s="21"/>
      <c r="K67" s="23"/>
      <c r="L67" s="21"/>
      <c r="M67" s="23"/>
      <c r="N67" s="23"/>
      <c r="O67" s="23"/>
      <c r="P67" s="23"/>
      <c r="Q67" s="27"/>
    </row>
    <row r="68" spans="1:17" ht="19.2" customHeight="1">
      <c r="A68" s="19" t="s">
        <v>119</v>
      </c>
      <c r="B68" s="10" t="str">
        <f>HYPERLINK("https://drive.google.com/file/d/1rDTwv1iiOQcxGfLCAXm81rMPkHRC3rZE/view?usp=drivesdk","20260707_171252.jpg")</f>
        <v>20260707_171252.jpg</v>
      </c>
      <c r="C68" s="21" t="s">
        <v>120</v>
      </c>
      <c r="D68" s="21" t="s">
        <v>121</v>
      </c>
      <c r="E68" s="21" t="s">
        <v>20</v>
      </c>
      <c r="F68" s="23">
        <v>1</v>
      </c>
      <c r="G68" s="23"/>
      <c r="H68" s="25">
        <v>3500</v>
      </c>
      <c r="I68" s="25"/>
      <c r="J68" s="21" t="s">
        <v>121</v>
      </c>
      <c r="K68" s="23" t="s">
        <v>21</v>
      </c>
      <c r="L68" s="21" t="s">
        <v>22</v>
      </c>
      <c r="M68" s="23"/>
      <c r="N68" s="23"/>
      <c r="O68" s="23"/>
      <c r="P68" s="23"/>
      <c r="Q68" s="27" t="s">
        <v>122</v>
      </c>
    </row>
    <row r="69" spans="1:17" ht="19.2" customHeight="1">
      <c r="A69" s="19"/>
      <c r="B69" s="10" t="str">
        <f>HYPERLINK("https://drive.google.com/file/d/1ohUXgKLn9eb5kV0m1muDGzgHpdPfOach/view?usp=drivesdk","20260707_171302.jpg")</f>
        <v>20260707_171302.jpg</v>
      </c>
      <c r="C69" s="21"/>
      <c r="D69" s="21"/>
      <c r="E69" s="21"/>
      <c r="F69" s="23"/>
      <c r="G69" s="23"/>
      <c r="H69" s="25"/>
      <c r="I69" s="25"/>
      <c r="J69" s="21"/>
      <c r="K69" s="23"/>
      <c r="L69" s="21"/>
      <c r="M69" s="23"/>
      <c r="N69" s="23"/>
      <c r="O69" s="23"/>
      <c r="P69" s="23"/>
      <c r="Q69" s="27"/>
    </row>
    <row r="70" spans="1:17" ht="19.2" customHeight="1">
      <c r="A70" s="19" t="s">
        <v>123</v>
      </c>
      <c r="B70" s="10" t="str">
        <f>HYPERLINK("https://drive.google.com/file/d/1UigI3-c1IYEP48Y9rUQ3xQ_k_2Pce1lw/view?usp=drivesdk","20260707_163819.jpg")</f>
        <v>20260707_163819.jpg</v>
      </c>
      <c r="C70" s="21" t="s">
        <v>124</v>
      </c>
      <c r="D70" s="21" t="s">
        <v>125</v>
      </c>
      <c r="E70" s="21" t="s">
        <v>20</v>
      </c>
      <c r="F70" s="23">
        <v>1</v>
      </c>
      <c r="G70" s="23"/>
      <c r="H70" s="25"/>
      <c r="I70" s="25"/>
      <c r="J70" s="21" t="s">
        <v>125</v>
      </c>
      <c r="K70" s="23" t="s">
        <v>21</v>
      </c>
      <c r="L70" s="21" t="s">
        <v>22</v>
      </c>
      <c r="M70" s="23"/>
      <c r="N70" s="23"/>
      <c r="O70" s="23"/>
      <c r="P70" s="23"/>
      <c r="Q70" s="27"/>
    </row>
    <row r="71" spans="1:17" ht="19.2" customHeight="1">
      <c r="A71" s="19"/>
      <c r="B71" s="10" t="str">
        <f>HYPERLINK("https://drive.google.com/file/d/1RwNmOVVTMDSfB_M9xTZM2H1PYLEKCd4Z/view?usp=drivesdk","20260707_163823.jpg")</f>
        <v>20260707_163823.jpg</v>
      </c>
      <c r="C71" s="21"/>
      <c r="D71" s="21"/>
      <c r="E71" s="21"/>
      <c r="F71" s="23"/>
      <c r="G71" s="23"/>
      <c r="H71" s="25"/>
      <c r="I71" s="25"/>
      <c r="J71" s="21"/>
      <c r="K71" s="23"/>
      <c r="L71" s="21"/>
      <c r="M71" s="23"/>
      <c r="N71" s="23"/>
      <c r="O71" s="23"/>
      <c r="P71" s="23"/>
      <c r="Q71" s="27"/>
    </row>
    <row r="72" spans="1:17" ht="19.2" customHeight="1">
      <c r="A72" s="9" t="s">
        <v>126</v>
      </c>
      <c r="B72" s="10" t="str">
        <f>HYPERLINK("https://drive.google.com/file/d/1HFoMq814so-YJiEasG90Fcvkr-pYNjQD/view?usp=drivesdk","20260707_170458.jpg")</f>
        <v>20260707_170458.jpg</v>
      </c>
      <c r="C72" s="11" t="s">
        <v>127</v>
      </c>
      <c r="D72" s="11" t="s">
        <v>125</v>
      </c>
      <c r="E72" s="11" t="s">
        <v>20</v>
      </c>
      <c r="F72" s="10">
        <v>1</v>
      </c>
      <c r="G72" s="10"/>
      <c r="H72" s="12"/>
      <c r="I72" s="12"/>
      <c r="J72" s="11" t="s">
        <v>125</v>
      </c>
      <c r="K72" s="10" t="s">
        <v>21</v>
      </c>
      <c r="L72" s="11" t="s">
        <v>22</v>
      </c>
      <c r="M72" s="10"/>
      <c r="N72" s="10"/>
      <c r="O72" s="10"/>
      <c r="P72" s="10"/>
      <c r="Q72" s="13"/>
    </row>
    <row r="73" spans="1:17" ht="19.2" customHeight="1">
      <c r="A73" s="19" t="s">
        <v>128</v>
      </c>
      <c r="B73" s="10" t="str">
        <f>HYPERLINK("https://drive.google.com/file/d/1Qk2FeZOXzbLJYI5-Q0isezoOTE1TUE-m/view?usp=drivesdk","20260707_172031.jpg")</f>
        <v>20260707_172031.jpg</v>
      </c>
      <c r="C73" s="21" t="s">
        <v>129</v>
      </c>
      <c r="D73" s="21" t="s">
        <v>109</v>
      </c>
      <c r="E73" s="21" t="s">
        <v>20</v>
      </c>
      <c r="F73" s="23">
        <v>1</v>
      </c>
      <c r="G73" s="23"/>
      <c r="H73" s="25"/>
      <c r="I73" s="25"/>
      <c r="J73" s="21" t="s">
        <v>109</v>
      </c>
      <c r="K73" s="23" t="s">
        <v>21</v>
      </c>
      <c r="L73" s="21" t="s">
        <v>22</v>
      </c>
      <c r="M73" s="23"/>
      <c r="N73" s="23"/>
      <c r="O73" s="23"/>
      <c r="P73" s="23"/>
      <c r="Q73" s="27"/>
    </row>
    <row r="74" spans="1:17" ht="19.2" customHeight="1">
      <c r="A74" s="19"/>
      <c r="B74" s="10" t="str">
        <f>HYPERLINK("https://drive.google.com/file/d/1HFghbe2BOkNcOLg4JJpZB4XMH_5a5HP9/view?usp=drivesdk","20260707_172037.jpg")</f>
        <v>20260707_172037.jpg</v>
      </c>
      <c r="C74" s="21"/>
      <c r="D74" s="21"/>
      <c r="E74" s="21"/>
      <c r="F74" s="23"/>
      <c r="G74" s="23"/>
      <c r="H74" s="25"/>
      <c r="I74" s="25"/>
      <c r="J74" s="21"/>
      <c r="K74" s="23"/>
      <c r="L74" s="21"/>
      <c r="M74" s="23"/>
      <c r="N74" s="23"/>
      <c r="O74" s="23"/>
      <c r="P74" s="23"/>
      <c r="Q74" s="27"/>
    </row>
    <row r="75" spans="1:17" ht="19.2" customHeight="1">
      <c r="A75" s="19"/>
      <c r="B75" s="10" t="str">
        <f>HYPERLINK("https://drive.google.com/file/d/167_MwQIPa1sUnQRcm7UQ5UlLYrMMvUiD/view?usp=drivesdk","20260707_172041.jpg")</f>
        <v>20260707_172041.jpg</v>
      </c>
      <c r="C75" s="21"/>
      <c r="D75" s="21"/>
      <c r="E75" s="21"/>
      <c r="F75" s="23"/>
      <c r="G75" s="23"/>
      <c r="H75" s="25"/>
      <c r="I75" s="25"/>
      <c r="J75" s="21"/>
      <c r="K75" s="23"/>
      <c r="L75" s="21"/>
      <c r="M75" s="23"/>
      <c r="N75" s="23"/>
      <c r="O75" s="23"/>
      <c r="P75" s="23"/>
      <c r="Q75" s="27"/>
    </row>
    <row r="76" spans="1:17" ht="19.2" customHeight="1">
      <c r="A76" s="19"/>
      <c r="B76" s="10" t="str">
        <f>HYPERLINK("https://drive.google.com/file/d/1LlQ3nesy4LAq3alWv2ZM_YbGl3J3pw9n/view?usp=drivesdk","20260707_172046.jpg")</f>
        <v>20260707_172046.jpg</v>
      </c>
      <c r="C76" s="21"/>
      <c r="D76" s="21"/>
      <c r="E76" s="21"/>
      <c r="F76" s="23"/>
      <c r="G76" s="23"/>
      <c r="H76" s="25"/>
      <c r="I76" s="25"/>
      <c r="J76" s="21"/>
      <c r="K76" s="23"/>
      <c r="L76" s="21"/>
      <c r="M76" s="23"/>
      <c r="N76" s="23"/>
      <c r="O76" s="23"/>
      <c r="P76" s="23"/>
      <c r="Q76" s="27"/>
    </row>
    <row r="77" spans="1:17" ht="19.2" customHeight="1">
      <c r="A77" s="9" t="s">
        <v>130</v>
      </c>
      <c r="B77" s="10"/>
      <c r="C77" s="11" t="s">
        <v>131</v>
      </c>
      <c r="D77" s="11" t="s">
        <v>132</v>
      </c>
      <c r="E77" s="11" t="s">
        <v>20</v>
      </c>
      <c r="F77" s="10">
        <v>1</v>
      </c>
      <c r="G77" s="10"/>
      <c r="H77" s="12">
        <v>6500</v>
      </c>
      <c r="I77" s="12"/>
      <c r="J77" s="11" t="s">
        <v>132</v>
      </c>
      <c r="K77" s="10" t="s">
        <v>21</v>
      </c>
      <c r="L77" s="11" t="s">
        <v>47</v>
      </c>
      <c r="M77" s="10"/>
      <c r="N77" s="10"/>
      <c r="O77" s="10"/>
      <c r="P77" s="10"/>
      <c r="Q77" s="13" t="s">
        <v>133</v>
      </c>
    </row>
    <row r="78" spans="1:17" ht="19.2" customHeight="1">
      <c r="A78" s="9" t="s">
        <v>134</v>
      </c>
      <c r="B78" s="10"/>
      <c r="C78" s="11" t="s">
        <v>135</v>
      </c>
      <c r="D78" s="11" t="s">
        <v>135</v>
      </c>
      <c r="E78" s="11" t="s">
        <v>20</v>
      </c>
      <c r="F78" s="10">
        <v>1</v>
      </c>
      <c r="G78" s="10"/>
      <c r="H78" s="12"/>
      <c r="I78" s="12"/>
      <c r="J78" s="11" t="s">
        <v>135</v>
      </c>
      <c r="K78" s="10" t="s">
        <v>21</v>
      </c>
      <c r="L78" s="11" t="s">
        <v>47</v>
      </c>
      <c r="M78" s="10"/>
      <c r="N78" s="10"/>
      <c r="O78" s="10"/>
      <c r="P78" s="10"/>
      <c r="Q78" s="13"/>
    </row>
    <row r="79" spans="1:17" ht="19.2" customHeight="1">
      <c r="A79" s="9" t="s">
        <v>136</v>
      </c>
      <c r="B79" s="10" t="str">
        <f>HYPERLINK("https://drive.google.com/file/d/1KVDkeCTYsIX_uHJNBrRSdM3yzNCRW9AY/view?usp=drivesdk","20260707_161200.jpg")</f>
        <v>20260707_161200.jpg</v>
      </c>
      <c r="C79" s="11" t="s">
        <v>137</v>
      </c>
      <c r="D79" s="11" t="s">
        <v>138</v>
      </c>
      <c r="E79" s="11" t="s">
        <v>20</v>
      </c>
      <c r="F79" s="10">
        <v>1</v>
      </c>
      <c r="G79" s="10"/>
      <c r="H79" s="12"/>
      <c r="I79" s="12"/>
      <c r="J79" s="11" t="s">
        <v>138</v>
      </c>
      <c r="K79" s="10" t="s">
        <v>21</v>
      </c>
      <c r="L79" s="11" t="s">
        <v>22</v>
      </c>
      <c r="M79" s="10"/>
      <c r="N79" s="10"/>
      <c r="O79" s="10"/>
      <c r="P79" s="10"/>
      <c r="Q79" s="13"/>
    </row>
    <row r="80" spans="1:17" ht="19.2" customHeight="1">
      <c r="A80" s="19" t="s">
        <v>139</v>
      </c>
      <c r="B80" s="10" t="str">
        <f>HYPERLINK("https://drive.google.com/file/d/1bTHbTlA9Y8FqpWAKJBP3sntZqpzj6pPd/view?usp=drivesdk","20260707_145158.jpg")</f>
        <v>20260707_145158.jpg</v>
      </c>
      <c r="C80" s="21" t="s">
        <v>137</v>
      </c>
      <c r="D80" s="21" t="s">
        <v>138</v>
      </c>
      <c r="E80" s="21" t="s">
        <v>20</v>
      </c>
      <c r="F80" s="23">
        <v>1</v>
      </c>
      <c r="G80" s="23"/>
      <c r="H80" s="25"/>
      <c r="I80" s="25"/>
      <c r="J80" s="21" t="s">
        <v>138</v>
      </c>
      <c r="K80" s="23" t="s">
        <v>21</v>
      </c>
      <c r="L80" s="21" t="s">
        <v>22</v>
      </c>
      <c r="M80" s="23"/>
      <c r="N80" s="23"/>
      <c r="O80" s="23"/>
      <c r="P80" s="23"/>
      <c r="Q80" s="27"/>
    </row>
    <row r="81" spans="1:17" ht="19.2" customHeight="1">
      <c r="A81" s="19"/>
      <c r="B81" s="10" t="str">
        <f>HYPERLINK("https://drive.google.com/file/d/1xKlI5EdMJ44z-yQ1pKEMSb2zZFkoILYD/view?usp=drivesdk","20260707_145202.jpg")</f>
        <v>20260707_145202.jpg</v>
      </c>
      <c r="C81" s="21"/>
      <c r="D81" s="21"/>
      <c r="E81" s="21"/>
      <c r="F81" s="23"/>
      <c r="G81" s="23"/>
      <c r="H81" s="25"/>
      <c r="I81" s="25"/>
      <c r="J81" s="21"/>
      <c r="K81" s="23"/>
      <c r="L81" s="21"/>
      <c r="M81" s="23"/>
      <c r="N81" s="23"/>
      <c r="O81" s="23"/>
      <c r="P81" s="23"/>
      <c r="Q81" s="27"/>
    </row>
    <row r="82" spans="1:17" ht="19.2" customHeight="1">
      <c r="A82" s="9" t="s">
        <v>140</v>
      </c>
      <c r="B82" s="10"/>
      <c r="C82" s="11" t="s">
        <v>137</v>
      </c>
      <c r="D82" s="11" t="s">
        <v>138</v>
      </c>
      <c r="E82" s="11" t="s">
        <v>20</v>
      </c>
      <c r="F82" s="10">
        <v>1</v>
      </c>
      <c r="G82" s="10"/>
      <c r="H82" s="12"/>
      <c r="I82" s="12"/>
      <c r="J82" s="11" t="s">
        <v>138</v>
      </c>
      <c r="K82" s="10" t="s">
        <v>21</v>
      </c>
      <c r="L82" s="11" t="s">
        <v>26</v>
      </c>
      <c r="M82" s="10"/>
      <c r="N82" s="10"/>
      <c r="O82" s="10"/>
      <c r="P82" s="10"/>
      <c r="Q82" s="13"/>
    </row>
    <row r="83" spans="1:17" ht="19.2" customHeight="1">
      <c r="A83" s="19" t="s">
        <v>141</v>
      </c>
      <c r="B83" s="10" t="str">
        <f>HYPERLINK("https://drive.google.com/file/d/1SwE-8lFE0MGqTelQQSBgDswDIwSE2RpN/view?usp=drivesdk","20260707_160923.jpg")</f>
        <v>20260707_160923.jpg</v>
      </c>
      <c r="C83" s="21" t="s">
        <v>137</v>
      </c>
      <c r="D83" s="21" t="s">
        <v>138</v>
      </c>
      <c r="E83" s="21" t="s">
        <v>20</v>
      </c>
      <c r="F83" s="23">
        <v>1</v>
      </c>
      <c r="G83" s="23"/>
      <c r="H83" s="25"/>
      <c r="I83" s="25"/>
      <c r="J83" s="21" t="s">
        <v>138</v>
      </c>
      <c r="K83" s="23" t="s">
        <v>21</v>
      </c>
      <c r="L83" s="21" t="s">
        <v>22</v>
      </c>
      <c r="M83" s="23"/>
      <c r="N83" s="23"/>
      <c r="O83" s="23"/>
      <c r="P83" s="23"/>
      <c r="Q83" s="27"/>
    </row>
    <row r="84" spans="1:17" ht="19.2" customHeight="1">
      <c r="A84" s="19"/>
      <c r="B84" s="10" t="str">
        <f>HYPERLINK("https://drive.google.com/file/d/1Jy1yl3GamV69wrdtzHT0jGzDx9x4et0L/view?usp=drivesdk","20260707_161204.jpg")</f>
        <v>20260707_161204.jpg</v>
      </c>
      <c r="C84" s="21"/>
      <c r="D84" s="21"/>
      <c r="E84" s="21"/>
      <c r="F84" s="23"/>
      <c r="G84" s="23"/>
      <c r="H84" s="25"/>
      <c r="I84" s="25"/>
      <c r="J84" s="21"/>
      <c r="K84" s="23"/>
      <c r="L84" s="21"/>
      <c r="M84" s="23"/>
      <c r="N84" s="23"/>
      <c r="O84" s="23"/>
      <c r="P84" s="23"/>
      <c r="Q84" s="27"/>
    </row>
    <row r="85" spans="1:17" ht="19.2" customHeight="1">
      <c r="A85" s="9" t="s">
        <v>142</v>
      </c>
      <c r="B85" s="10"/>
      <c r="C85" s="11" t="s">
        <v>143</v>
      </c>
      <c r="D85" s="11" t="s">
        <v>144</v>
      </c>
      <c r="E85" s="11" t="s">
        <v>20</v>
      </c>
      <c r="F85" s="10">
        <v>1</v>
      </c>
      <c r="G85" s="10"/>
      <c r="H85" s="12">
        <v>0</v>
      </c>
      <c r="I85" s="12"/>
      <c r="J85" s="11" t="s">
        <v>144</v>
      </c>
      <c r="K85" s="10" t="s">
        <v>145</v>
      </c>
      <c r="L85" s="11" t="s">
        <v>146</v>
      </c>
      <c r="M85" s="10"/>
      <c r="N85" s="10"/>
      <c r="O85" s="10"/>
      <c r="P85" s="10"/>
      <c r="Q85" s="13"/>
    </row>
    <row r="86" spans="1:17" ht="19.2" customHeight="1">
      <c r="A86" s="9" t="s">
        <v>147</v>
      </c>
      <c r="B86" s="10"/>
      <c r="C86" s="11" t="s">
        <v>148</v>
      </c>
      <c r="D86" s="11" t="s">
        <v>144</v>
      </c>
      <c r="E86" s="11" t="s">
        <v>20</v>
      </c>
      <c r="F86" s="10">
        <v>1</v>
      </c>
      <c r="G86" s="10"/>
      <c r="H86" s="12">
        <v>0</v>
      </c>
      <c r="I86" s="12"/>
      <c r="J86" s="11" t="s">
        <v>144</v>
      </c>
      <c r="K86" s="10" t="s">
        <v>21</v>
      </c>
      <c r="L86" s="11" t="s">
        <v>149</v>
      </c>
      <c r="M86" s="10"/>
      <c r="N86" s="10"/>
      <c r="O86" s="10"/>
      <c r="P86" s="10"/>
      <c r="Q86" s="13"/>
    </row>
    <row r="87" spans="1:17" ht="19.2" customHeight="1">
      <c r="A87" s="9" t="s">
        <v>150</v>
      </c>
      <c r="B87" s="10"/>
      <c r="C87" s="11" t="s">
        <v>151</v>
      </c>
      <c r="D87" s="11" t="s">
        <v>151</v>
      </c>
      <c r="E87" s="11" t="s">
        <v>20</v>
      </c>
      <c r="F87" s="10">
        <v>1</v>
      </c>
      <c r="G87" s="10"/>
      <c r="H87" s="12"/>
      <c r="I87" s="12"/>
      <c r="J87" s="11" t="s">
        <v>151</v>
      </c>
      <c r="K87" s="10" t="s">
        <v>21</v>
      </c>
      <c r="L87" s="11" t="s">
        <v>76</v>
      </c>
      <c r="M87" s="10"/>
      <c r="N87" s="10"/>
      <c r="O87" s="10"/>
      <c r="P87" s="10"/>
      <c r="Q87" s="13"/>
    </row>
    <row r="88" spans="1:17" ht="19.2" customHeight="1">
      <c r="A88" s="9" t="s">
        <v>152</v>
      </c>
      <c r="B88" s="10"/>
      <c r="C88" s="11" t="s">
        <v>153</v>
      </c>
      <c r="D88" s="11" t="s">
        <v>154</v>
      </c>
      <c r="E88" s="11" t="s">
        <v>20</v>
      </c>
      <c r="F88" s="10">
        <v>1</v>
      </c>
      <c r="G88" s="10"/>
      <c r="H88" s="12"/>
      <c r="I88" s="12"/>
      <c r="J88" s="11" t="s">
        <v>154</v>
      </c>
      <c r="K88" s="10" t="s">
        <v>21</v>
      </c>
      <c r="L88" s="11" t="s">
        <v>26</v>
      </c>
      <c r="M88" s="10"/>
      <c r="N88" s="10"/>
      <c r="O88" s="10"/>
      <c r="P88" s="10"/>
      <c r="Q88" s="13"/>
    </row>
    <row r="89" spans="1:17" ht="19.2" customHeight="1">
      <c r="A89" s="9" t="s">
        <v>155</v>
      </c>
      <c r="B89" s="10"/>
      <c r="C89" s="11" t="s">
        <v>156</v>
      </c>
      <c r="D89" s="11" t="s">
        <v>154</v>
      </c>
      <c r="E89" s="11" t="s">
        <v>20</v>
      </c>
      <c r="F89" s="10">
        <v>1</v>
      </c>
      <c r="G89" s="10"/>
      <c r="H89" s="12"/>
      <c r="I89" s="12"/>
      <c r="J89" s="11" t="s">
        <v>154</v>
      </c>
      <c r="K89" s="10" t="s">
        <v>21</v>
      </c>
      <c r="L89" s="11" t="s">
        <v>157</v>
      </c>
      <c r="M89" s="10"/>
      <c r="N89" s="10"/>
      <c r="O89" s="10"/>
      <c r="P89" s="10"/>
      <c r="Q89" s="13"/>
    </row>
    <row r="90" spans="1:17" ht="19.2" customHeight="1">
      <c r="A90" s="19" t="s">
        <v>158</v>
      </c>
      <c r="B90" s="10" t="str">
        <f>HYPERLINK("https://drive.google.com/file/d/1P_zNpAIQ2-qZFvzfaWCBdSdx-6PEAK_K/view?usp=drivesdk","20260707_130526.jpg")</f>
        <v>20260707_130526.jpg</v>
      </c>
      <c r="C90" s="21" t="s">
        <v>159</v>
      </c>
      <c r="D90" s="21" t="s">
        <v>154</v>
      </c>
      <c r="E90" s="21" t="s">
        <v>20</v>
      </c>
      <c r="F90" s="23">
        <v>1</v>
      </c>
      <c r="G90" s="23"/>
      <c r="H90" s="25"/>
      <c r="I90" s="25"/>
      <c r="J90" s="21" t="s">
        <v>154</v>
      </c>
      <c r="K90" s="23" t="s">
        <v>21</v>
      </c>
      <c r="L90" s="21" t="s">
        <v>22</v>
      </c>
      <c r="M90" s="23"/>
      <c r="N90" s="23"/>
      <c r="O90" s="23"/>
      <c r="P90" s="23"/>
      <c r="Q90" s="27"/>
    </row>
    <row r="91" spans="1:17" ht="19.2" customHeight="1">
      <c r="A91" s="19"/>
      <c r="B91" s="10" t="str">
        <f>HYPERLINK("https://drive.google.com/file/d/1Oq1g7q8fHJhEwz86W_Kc3MKOXImyTMX2/view?usp=drivesdk","20260707_130557.jpg")</f>
        <v>20260707_130557.jpg</v>
      </c>
      <c r="C91" s="21"/>
      <c r="D91" s="21"/>
      <c r="E91" s="21"/>
      <c r="F91" s="23"/>
      <c r="G91" s="23"/>
      <c r="H91" s="25"/>
      <c r="I91" s="25"/>
      <c r="J91" s="21"/>
      <c r="K91" s="23"/>
      <c r="L91" s="21"/>
      <c r="M91" s="23"/>
      <c r="N91" s="23"/>
      <c r="O91" s="23"/>
      <c r="P91" s="23"/>
      <c r="Q91" s="27"/>
    </row>
    <row r="92" spans="1:17" ht="19.2" customHeight="1">
      <c r="A92" s="19"/>
      <c r="B92" s="10" t="str">
        <f>HYPERLINK("https://drive.google.com/file/d/1uu6pMn4vq2aTKA4nlZPty2gk_OYcM0Cx/view?usp=drivesdk","20260707_130611.jpg")</f>
        <v>20260707_130611.jpg</v>
      </c>
      <c r="C92" s="21"/>
      <c r="D92" s="21"/>
      <c r="E92" s="21"/>
      <c r="F92" s="23"/>
      <c r="G92" s="23"/>
      <c r="H92" s="25"/>
      <c r="I92" s="25"/>
      <c r="J92" s="21"/>
      <c r="K92" s="23"/>
      <c r="L92" s="21"/>
      <c r="M92" s="23"/>
      <c r="N92" s="23"/>
      <c r="O92" s="23"/>
      <c r="P92" s="23"/>
      <c r="Q92" s="27"/>
    </row>
    <row r="93" spans="1:17" ht="19.2" customHeight="1">
      <c r="A93" s="9" t="s">
        <v>160</v>
      </c>
      <c r="B93" s="10"/>
      <c r="C93" s="11" t="s">
        <v>161</v>
      </c>
      <c r="D93" s="11" t="s">
        <v>154</v>
      </c>
      <c r="E93" s="11" t="s">
        <v>20</v>
      </c>
      <c r="F93" s="10">
        <v>1</v>
      </c>
      <c r="G93" s="10"/>
      <c r="H93" s="12"/>
      <c r="I93" s="12"/>
      <c r="J93" s="11" t="s">
        <v>154</v>
      </c>
      <c r="K93" s="10" t="s">
        <v>21</v>
      </c>
      <c r="L93" s="11" t="s">
        <v>47</v>
      </c>
      <c r="M93" s="10"/>
      <c r="N93" s="10"/>
      <c r="O93" s="10"/>
      <c r="P93" s="10"/>
      <c r="Q93" s="13"/>
    </row>
    <row r="94" spans="1:17" ht="19.2" customHeight="1">
      <c r="A94" s="9" t="s">
        <v>162</v>
      </c>
      <c r="B94" s="10"/>
      <c r="C94" s="11" t="s">
        <v>163</v>
      </c>
      <c r="D94" s="11" t="s">
        <v>154</v>
      </c>
      <c r="E94" s="11" t="s">
        <v>20</v>
      </c>
      <c r="F94" s="10">
        <v>1</v>
      </c>
      <c r="G94" s="10"/>
      <c r="H94" s="12"/>
      <c r="I94" s="12"/>
      <c r="J94" s="11" t="s">
        <v>154</v>
      </c>
      <c r="K94" s="10" t="s">
        <v>21</v>
      </c>
      <c r="L94" s="11" t="s">
        <v>157</v>
      </c>
      <c r="M94" s="10"/>
      <c r="N94" s="10"/>
      <c r="O94" s="10"/>
      <c r="P94" s="10"/>
      <c r="Q94" s="13"/>
    </row>
    <row r="95" spans="1:17" ht="19.2" customHeight="1">
      <c r="A95" s="19" t="s">
        <v>164</v>
      </c>
      <c r="B95" s="10" t="str">
        <f>HYPERLINK("https://drive.google.com/file/d/1b6zPpcbaSSGNqjugZys_u9GNBiJxbAr4/view?usp=drivesdk","20260707_130904.jpg")</f>
        <v>20260707_130904.jpg</v>
      </c>
      <c r="C95" s="21" t="s">
        <v>165</v>
      </c>
      <c r="D95" s="21" t="s">
        <v>154</v>
      </c>
      <c r="E95" s="21" t="s">
        <v>20</v>
      </c>
      <c r="F95" s="23">
        <v>1</v>
      </c>
      <c r="G95" s="23"/>
      <c r="H95" s="25"/>
      <c r="I95" s="25"/>
      <c r="J95" s="21" t="s">
        <v>154</v>
      </c>
      <c r="K95" s="23" t="s">
        <v>21</v>
      </c>
      <c r="L95" s="21" t="s">
        <v>22</v>
      </c>
      <c r="M95" s="23"/>
      <c r="N95" s="23"/>
      <c r="O95" s="23"/>
      <c r="P95" s="23"/>
      <c r="Q95" s="27"/>
    </row>
    <row r="96" spans="1:17" ht="19.2" customHeight="1">
      <c r="A96" s="19"/>
      <c r="B96" s="10" t="str">
        <f>HYPERLINK("https://drive.google.com/file/d/1_7SCO6nYW8oVR8lPVAjYuJAIvE3jxxU8/view?usp=drivesdk","20260707_130913.jpg")</f>
        <v>20260707_130913.jpg</v>
      </c>
      <c r="C96" s="21"/>
      <c r="D96" s="21"/>
      <c r="E96" s="21"/>
      <c r="F96" s="23"/>
      <c r="G96" s="23"/>
      <c r="H96" s="25"/>
      <c r="I96" s="25"/>
      <c r="J96" s="21"/>
      <c r="K96" s="23"/>
      <c r="L96" s="21"/>
      <c r="M96" s="23"/>
      <c r="N96" s="23"/>
      <c r="O96" s="23"/>
      <c r="P96" s="23"/>
      <c r="Q96" s="27"/>
    </row>
    <row r="97" spans="1:17" ht="19.2" customHeight="1">
      <c r="A97" s="19"/>
      <c r="B97" s="10" t="str">
        <f>HYPERLINK("https://drive.google.com/file/d/1blZEhVxp1n4WTLPn4pPLXo3LfWBxQgmC/view?usp=drivesdk","20260707_130919.jpg")</f>
        <v>20260707_130919.jpg</v>
      </c>
      <c r="C97" s="21"/>
      <c r="D97" s="21"/>
      <c r="E97" s="21"/>
      <c r="F97" s="23"/>
      <c r="G97" s="23"/>
      <c r="H97" s="25"/>
      <c r="I97" s="25"/>
      <c r="J97" s="21"/>
      <c r="K97" s="23"/>
      <c r="L97" s="21"/>
      <c r="M97" s="23"/>
      <c r="N97" s="23"/>
      <c r="O97" s="23"/>
      <c r="P97" s="23"/>
      <c r="Q97" s="27"/>
    </row>
    <row r="98" spans="1:17" ht="19.2" customHeight="1">
      <c r="A98" s="19"/>
      <c r="B98" s="10" t="str">
        <f>HYPERLINK("https://drive.google.com/file/d/1kTBGCvcZAsZA1coL673dhr69Ni-OisQg/view?usp=drivesdk","20260707_130928.jpg")</f>
        <v>20260707_130928.jpg</v>
      </c>
      <c r="C98" s="21"/>
      <c r="D98" s="21"/>
      <c r="E98" s="21"/>
      <c r="F98" s="23"/>
      <c r="G98" s="23"/>
      <c r="H98" s="25"/>
      <c r="I98" s="25"/>
      <c r="J98" s="21"/>
      <c r="K98" s="23"/>
      <c r="L98" s="21"/>
      <c r="M98" s="23"/>
      <c r="N98" s="23"/>
      <c r="O98" s="23"/>
      <c r="P98" s="23"/>
      <c r="Q98" s="27"/>
    </row>
    <row r="99" spans="1:17" ht="19.2" customHeight="1">
      <c r="A99" s="19" t="s">
        <v>166</v>
      </c>
      <c r="B99" s="10" t="str">
        <f>HYPERLINK("https://drive.google.com/file/d/1Fdg6kTGlDJBlS8dRLZwyFLkhTFxvKFKJ/view?usp=drivesdk","20260707_125922.jpg")</f>
        <v>20260707_125922.jpg</v>
      </c>
      <c r="C99" s="21" t="s">
        <v>167</v>
      </c>
      <c r="D99" s="21" t="s">
        <v>154</v>
      </c>
      <c r="E99" s="21" t="s">
        <v>20</v>
      </c>
      <c r="F99" s="23">
        <v>1</v>
      </c>
      <c r="G99" s="23"/>
      <c r="H99" s="25"/>
      <c r="I99" s="25"/>
      <c r="J99" s="21" t="s">
        <v>154</v>
      </c>
      <c r="K99" s="23" t="s">
        <v>21</v>
      </c>
      <c r="L99" s="21" t="s">
        <v>22</v>
      </c>
      <c r="M99" s="23"/>
      <c r="N99" s="23"/>
      <c r="O99" s="23"/>
      <c r="P99" s="23"/>
      <c r="Q99" s="27"/>
    </row>
    <row r="100" spans="1:17" ht="19.2" customHeight="1">
      <c r="A100" s="19"/>
      <c r="B100" s="10" t="str">
        <f>HYPERLINK("https://drive.google.com/file/d/1lK4XBDJSHu79SwC4QywIh0LPsRUb1kWb/view?usp=drivesdk","20260707_125929.jpg")</f>
        <v>20260707_125929.jpg</v>
      </c>
      <c r="C100" s="21"/>
      <c r="D100" s="21"/>
      <c r="E100" s="21"/>
      <c r="F100" s="23"/>
      <c r="G100" s="23"/>
      <c r="H100" s="25"/>
      <c r="I100" s="25"/>
      <c r="J100" s="21"/>
      <c r="K100" s="23"/>
      <c r="L100" s="21"/>
      <c r="M100" s="23"/>
      <c r="N100" s="23"/>
      <c r="O100" s="23"/>
      <c r="P100" s="23"/>
      <c r="Q100" s="27"/>
    </row>
    <row r="101" spans="1:17" ht="19.2" customHeight="1">
      <c r="A101" s="19"/>
      <c r="B101" s="10" t="str">
        <f>HYPERLINK("https://drive.google.com/file/d/1QdgoXnrM0CP5xdHv7emrCLFAnrol9x8S/view?usp=drivesdk","20260707_125944.jpg")</f>
        <v>20260707_125944.jpg</v>
      </c>
      <c r="C101" s="21"/>
      <c r="D101" s="21"/>
      <c r="E101" s="21"/>
      <c r="F101" s="23"/>
      <c r="G101" s="23"/>
      <c r="H101" s="25"/>
      <c r="I101" s="25"/>
      <c r="J101" s="21"/>
      <c r="K101" s="23"/>
      <c r="L101" s="21"/>
      <c r="M101" s="23"/>
      <c r="N101" s="23"/>
      <c r="O101" s="23"/>
      <c r="P101" s="23"/>
      <c r="Q101" s="27"/>
    </row>
    <row r="102" spans="1:17" ht="19.2" customHeight="1">
      <c r="A102" s="19"/>
      <c r="B102" s="10" t="str">
        <f>HYPERLINK("https://drive.google.com/file/d/1HkexUqwXaxywPgKaApeSCIzwfvvfbCsw/view?usp=drivesdk","20260707_125951.jpg")</f>
        <v>20260707_125951.jpg</v>
      </c>
      <c r="C102" s="21"/>
      <c r="D102" s="21"/>
      <c r="E102" s="21"/>
      <c r="F102" s="23"/>
      <c r="G102" s="23"/>
      <c r="H102" s="25"/>
      <c r="I102" s="25"/>
      <c r="J102" s="21"/>
      <c r="K102" s="23"/>
      <c r="L102" s="21"/>
      <c r="M102" s="23"/>
      <c r="N102" s="23"/>
      <c r="O102" s="23"/>
      <c r="P102" s="23"/>
      <c r="Q102" s="27"/>
    </row>
    <row r="103" spans="1:17" ht="19.2" customHeight="1">
      <c r="A103" s="19" t="s">
        <v>168</v>
      </c>
      <c r="B103" s="10" t="str">
        <f>HYPERLINK("https://drive.google.com/file/d/1KSQoB3xV1q4oPxlXN7l5n-cVlNmqw6mo/view?usp=drivesdk","20260707_130738.jpg")</f>
        <v>20260707_130738.jpg</v>
      </c>
      <c r="C103" s="21" t="s">
        <v>169</v>
      </c>
      <c r="D103" s="21" t="s">
        <v>154</v>
      </c>
      <c r="E103" s="21" t="s">
        <v>20</v>
      </c>
      <c r="F103" s="23">
        <v>1</v>
      </c>
      <c r="G103" s="23"/>
      <c r="H103" s="25"/>
      <c r="I103" s="25"/>
      <c r="J103" s="21" t="s">
        <v>154</v>
      </c>
      <c r="K103" s="23" t="s">
        <v>21</v>
      </c>
      <c r="L103" s="21" t="s">
        <v>22</v>
      </c>
      <c r="M103" s="23"/>
      <c r="N103" s="23"/>
      <c r="O103" s="23"/>
      <c r="P103" s="23"/>
      <c r="Q103" s="27"/>
    </row>
    <row r="104" spans="1:17" ht="19.2" customHeight="1">
      <c r="A104" s="19"/>
      <c r="B104" s="10" t="str">
        <f>HYPERLINK("https://drive.google.com/file/d/1fjjRnW07LyMDqgig-SqJQPDnNNaBhVw-/view?usp=drivesdk","20260707_130745.jpg")</f>
        <v>20260707_130745.jpg</v>
      </c>
      <c r="C104" s="21"/>
      <c r="D104" s="21"/>
      <c r="E104" s="21"/>
      <c r="F104" s="23"/>
      <c r="G104" s="23"/>
      <c r="H104" s="25"/>
      <c r="I104" s="25"/>
      <c r="J104" s="21"/>
      <c r="K104" s="23"/>
      <c r="L104" s="21"/>
      <c r="M104" s="23"/>
      <c r="N104" s="23"/>
      <c r="O104" s="23"/>
      <c r="P104" s="23"/>
      <c r="Q104" s="27"/>
    </row>
    <row r="105" spans="1:17" ht="19.2" customHeight="1">
      <c r="A105" s="19"/>
      <c r="B105" s="10" t="str">
        <f>HYPERLINK("https://drive.google.com/file/d/1nUr2CqAaZIl1MgAiinO0FN7uEX2KLPtV/view?usp=drivesdk","20260707_130751.jpg")</f>
        <v>20260707_130751.jpg</v>
      </c>
      <c r="C105" s="21"/>
      <c r="D105" s="21"/>
      <c r="E105" s="21"/>
      <c r="F105" s="23"/>
      <c r="G105" s="23"/>
      <c r="H105" s="25"/>
      <c r="I105" s="25"/>
      <c r="J105" s="21"/>
      <c r="K105" s="23"/>
      <c r="L105" s="21"/>
      <c r="M105" s="23"/>
      <c r="N105" s="23"/>
      <c r="O105" s="23"/>
      <c r="P105" s="23"/>
      <c r="Q105" s="27"/>
    </row>
    <row r="106" spans="1:17" ht="19.2" customHeight="1">
      <c r="A106" s="19"/>
      <c r="B106" s="10" t="str">
        <f>HYPERLINK("https://drive.google.com/file/d/1g0UM2BKAJpV_89mleo8FuQ9DhYnO8TXP/view?usp=drivesdk","20260707_130757.jpg")</f>
        <v>20260707_130757.jpg</v>
      </c>
      <c r="C106" s="21"/>
      <c r="D106" s="21"/>
      <c r="E106" s="21"/>
      <c r="F106" s="23"/>
      <c r="G106" s="23"/>
      <c r="H106" s="25"/>
      <c r="I106" s="25"/>
      <c r="J106" s="21"/>
      <c r="K106" s="23"/>
      <c r="L106" s="21"/>
      <c r="M106" s="23"/>
      <c r="N106" s="23"/>
      <c r="O106" s="23"/>
      <c r="P106" s="23"/>
      <c r="Q106" s="27"/>
    </row>
    <row r="107" spans="1:17" ht="19.2" customHeight="1">
      <c r="A107" s="19" t="s">
        <v>170</v>
      </c>
      <c r="B107" s="10" t="str">
        <f>HYPERLINK("https://drive.google.com/file/d/1LLArte78iRgRWFM_1W-5gC52Vjj878Wv/view?usp=drivesdk","20260707_125443.jpg")</f>
        <v>20260707_125443.jpg</v>
      </c>
      <c r="C107" s="21" t="s">
        <v>171</v>
      </c>
      <c r="D107" s="21" t="s">
        <v>154</v>
      </c>
      <c r="E107" s="21" t="s">
        <v>20</v>
      </c>
      <c r="F107" s="23">
        <v>1</v>
      </c>
      <c r="G107" s="23"/>
      <c r="H107" s="25"/>
      <c r="I107" s="25"/>
      <c r="J107" s="21" t="s">
        <v>154</v>
      </c>
      <c r="K107" s="23" t="s">
        <v>21</v>
      </c>
      <c r="L107" s="21" t="s">
        <v>22</v>
      </c>
      <c r="M107" s="23"/>
      <c r="N107" s="23"/>
      <c r="O107" s="23"/>
      <c r="P107" s="23"/>
      <c r="Q107" s="27"/>
    </row>
    <row r="108" spans="1:17" ht="19.2" customHeight="1">
      <c r="A108" s="19"/>
      <c r="B108" s="10" t="str">
        <f>HYPERLINK("https://drive.google.com/file/d/1FVOQy8SjiD6jH0O2tG7zdkez0Zvnmt0C/view?usp=drivesdk","20260707_125447.jpg")</f>
        <v>20260707_125447.jpg</v>
      </c>
      <c r="C108" s="21"/>
      <c r="D108" s="21"/>
      <c r="E108" s="21"/>
      <c r="F108" s="23"/>
      <c r="G108" s="23"/>
      <c r="H108" s="25"/>
      <c r="I108" s="25"/>
      <c r="J108" s="21"/>
      <c r="K108" s="23"/>
      <c r="L108" s="21"/>
      <c r="M108" s="23"/>
      <c r="N108" s="23"/>
      <c r="O108" s="23"/>
      <c r="P108" s="23"/>
      <c r="Q108" s="27"/>
    </row>
    <row r="109" spans="1:17" ht="19.2" customHeight="1">
      <c r="A109" s="19"/>
      <c r="B109" s="10" t="str">
        <f>HYPERLINK("https://drive.google.com/file/d/1cBjWSlEM12pCyJPbyCgcWJNYqePsGQ8z/view?usp=drivesdk","20260707_125506.jpg")</f>
        <v>20260707_125506.jpg</v>
      </c>
      <c r="C109" s="21"/>
      <c r="D109" s="21"/>
      <c r="E109" s="21"/>
      <c r="F109" s="23"/>
      <c r="G109" s="23"/>
      <c r="H109" s="25"/>
      <c r="I109" s="25"/>
      <c r="J109" s="21"/>
      <c r="K109" s="23"/>
      <c r="L109" s="21"/>
      <c r="M109" s="23"/>
      <c r="N109" s="23"/>
      <c r="O109" s="23"/>
      <c r="P109" s="23"/>
      <c r="Q109" s="27"/>
    </row>
    <row r="110" spans="1:17" ht="19.2" customHeight="1">
      <c r="A110" s="19" t="s">
        <v>172</v>
      </c>
      <c r="B110" s="10" t="str">
        <f>HYPERLINK("https://drive.google.com/file/d/1A0d0Lg5VTHY_0FLoWvZBM2DVqqb0OPj_/view?usp=drivesdk","20260707_130406.jpg")</f>
        <v>20260707_130406.jpg</v>
      </c>
      <c r="C110" s="21" t="s">
        <v>173</v>
      </c>
      <c r="D110" s="21" t="s">
        <v>154</v>
      </c>
      <c r="E110" s="21" t="s">
        <v>20</v>
      </c>
      <c r="F110" s="23">
        <v>1</v>
      </c>
      <c r="G110" s="23"/>
      <c r="H110" s="25"/>
      <c r="I110" s="25"/>
      <c r="J110" s="21" t="s">
        <v>154</v>
      </c>
      <c r="K110" s="23" t="s">
        <v>21</v>
      </c>
      <c r="L110" s="21" t="s">
        <v>22</v>
      </c>
      <c r="M110" s="23"/>
      <c r="N110" s="23"/>
      <c r="O110" s="23"/>
      <c r="P110" s="23"/>
      <c r="Q110" s="27"/>
    </row>
    <row r="111" spans="1:17" ht="19.2" customHeight="1">
      <c r="A111" s="19"/>
      <c r="B111" s="10" t="str">
        <f>HYPERLINK("https://drive.google.com/file/d/1plFQ7ttiNrb4uwRNPjb3IcJW8j0KIblV/view?usp=drivesdk","20260707_130411.jpg")</f>
        <v>20260707_130411.jpg</v>
      </c>
      <c r="C111" s="21"/>
      <c r="D111" s="21"/>
      <c r="E111" s="21"/>
      <c r="F111" s="23"/>
      <c r="G111" s="23"/>
      <c r="H111" s="25"/>
      <c r="I111" s="25"/>
      <c r="J111" s="21"/>
      <c r="K111" s="23"/>
      <c r="L111" s="21"/>
      <c r="M111" s="23"/>
      <c r="N111" s="23"/>
      <c r="O111" s="23"/>
      <c r="P111" s="23"/>
      <c r="Q111" s="27"/>
    </row>
    <row r="112" spans="1:17" ht="19.2" customHeight="1">
      <c r="A112" s="19"/>
      <c r="B112" s="10" t="str">
        <f>HYPERLINK("https://drive.google.com/file/d/1r6gZmNtG3RZ3q2XtKnjamr9vqbHOb5cf/view?usp=drivesdk","20260707_130423.jpg")</f>
        <v>20260707_130423.jpg</v>
      </c>
      <c r="C112" s="21"/>
      <c r="D112" s="21"/>
      <c r="E112" s="21"/>
      <c r="F112" s="23"/>
      <c r="G112" s="23"/>
      <c r="H112" s="25"/>
      <c r="I112" s="25"/>
      <c r="J112" s="21"/>
      <c r="K112" s="23"/>
      <c r="L112" s="21"/>
      <c r="M112" s="23"/>
      <c r="N112" s="23"/>
      <c r="O112" s="23"/>
      <c r="P112" s="23"/>
      <c r="Q112" s="27"/>
    </row>
    <row r="113" spans="1:17" ht="19.2" customHeight="1">
      <c r="A113" s="19"/>
      <c r="B113" s="10" t="str">
        <f>HYPERLINK("https://drive.google.com/file/d/1gH08AsDrmCu2tS5DlB1vEEIsL9iaNYIj/view?usp=drivesdk","20260707_130436.jpg")</f>
        <v>20260707_130436.jpg</v>
      </c>
      <c r="C113" s="21"/>
      <c r="D113" s="21"/>
      <c r="E113" s="21"/>
      <c r="F113" s="23"/>
      <c r="G113" s="23"/>
      <c r="H113" s="25"/>
      <c r="I113" s="25"/>
      <c r="J113" s="21"/>
      <c r="K113" s="23"/>
      <c r="L113" s="21"/>
      <c r="M113" s="23"/>
      <c r="N113" s="23"/>
      <c r="O113" s="23"/>
      <c r="P113" s="23"/>
      <c r="Q113" s="27"/>
    </row>
    <row r="114" spans="1:17" ht="19.2" customHeight="1">
      <c r="A114" s="9" t="s">
        <v>174</v>
      </c>
      <c r="B114" s="10"/>
      <c r="C114" s="11" t="s">
        <v>175</v>
      </c>
      <c r="D114" s="11" t="s">
        <v>154</v>
      </c>
      <c r="E114" s="11" t="s">
        <v>20</v>
      </c>
      <c r="F114" s="10">
        <v>1</v>
      </c>
      <c r="G114" s="10"/>
      <c r="H114" s="12"/>
      <c r="I114" s="12"/>
      <c r="J114" s="11" t="s">
        <v>154</v>
      </c>
      <c r="K114" s="10" t="s">
        <v>21</v>
      </c>
      <c r="L114" s="11" t="s">
        <v>26</v>
      </c>
      <c r="M114" s="10"/>
      <c r="N114" s="10"/>
      <c r="O114" s="10"/>
      <c r="P114" s="10"/>
      <c r="Q114" s="13"/>
    </row>
    <row r="115" spans="1:17" ht="19.2" customHeight="1">
      <c r="A115" s="19" t="s">
        <v>176</v>
      </c>
      <c r="B115" s="10" t="str">
        <f>HYPERLINK("https://drive.google.com/file/d/19OSvg3TDd1FAW8PUU3NOaoru0IbgLFa1/view?usp=drivesdk","20260707_131135.jpg")</f>
        <v>20260707_131135.jpg</v>
      </c>
      <c r="C115" s="21" t="s">
        <v>177</v>
      </c>
      <c r="D115" s="21" t="s">
        <v>154</v>
      </c>
      <c r="E115" s="21" t="s">
        <v>20</v>
      </c>
      <c r="F115" s="23">
        <v>1</v>
      </c>
      <c r="G115" s="23"/>
      <c r="H115" s="25"/>
      <c r="I115" s="25"/>
      <c r="J115" s="21" t="s">
        <v>154</v>
      </c>
      <c r="K115" s="23" t="s">
        <v>21</v>
      </c>
      <c r="L115" s="21" t="s">
        <v>22</v>
      </c>
      <c r="M115" s="23"/>
      <c r="N115" s="23"/>
      <c r="O115" s="23"/>
      <c r="P115" s="23"/>
      <c r="Q115" s="27"/>
    </row>
    <row r="116" spans="1:17" ht="19.2" customHeight="1">
      <c r="A116" s="19"/>
      <c r="B116" s="10" t="str">
        <f>HYPERLINK("https://drive.google.com/file/d/1x7CpLGIH8NMVZb-dbYkB10nJPEZpKfeq/view?usp=drivesdk","20260707_131138.jpg")</f>
        <v>20260707_131138.jpg</v>
      </c>
      <c r="C116" s="21"/>
      <c r="D116" s="21"/>
      <c r="E116" s="21"/>
      <c r="F116" s="23"/>
      <c r="G116" s="23"/>
      <c r="H116" s="25"/>
      <c r="I116" s="25"/>
      <c r="J116" s="21"/>
      <c r="K116" s="23"/>
      <c r="L116" s="21"/>
      <c r="M116" s="23"/>
      <c r="N116" s="23"/>
      <c r="O116" s="23"/>
      <c r="P116" s="23"/>
      <c r="Q116" s="27"/>
    </row>
    <row r="117" spans="1:17" ht="19.2" customHeight="1">
      <c r="A117" s="19"/>
      <c r="B117" s="10" t="str">
        <f>HYPERLINK("https://drive.google.com/file/d/1clCFdbkFk-SrnjFfP3pm4QC8vV5KSjb2/view?usp=drivesdk","20260707_131146.jpg")</f>
        <v>20260707_131146.jpg</v>
      </c>
      <c r="C117" s="21"/>
      <c r="D117" s="21"/>
      <c r="E117" s="21"/>
      <c r="F117" s="23"/>
      <c r="G117" s="23"/>
      <c r="H117" s="25"/>
      <c r="I117" s="25"/>
      <c r="J117" s="21"/>
      <c r="K117" s="23"/>
      <c r="L117" s="21"/>
      <c r="M117" s="23"/>
      <c r="N117" s="23"/>
      <c r="O117" s="23"/>
      <c r="P117" s="23"/>
      <c r="Q117" s="27"/>
    </row>
    <row r="118" spans="1:17" ht="19.2" customHeight="1">
      <c r="A118" s="19"/>
      <c r="B118" s="10" t="str">
        <f>HYPERLINK("https://drive.google.com/file/d/1L111bkrAjPJHpneXm7VJExt8oeWYYVhm/view?usp=drivesdk","20260707_131151.jpg")</f>
        <v>20260707_131151.jpg</v>
      </c>
      <c r="C118" s="21"/>
      <c r="D118" s="21"/>
      <c r="E118" s="21"/>
      <c r="F118" s="23"/>
      <c r="G118" s="23"/>
      <c r="H118" s="25"/>
      <c r="I118" s="25"/>
      <c r="J118" s="21"/>
      <c r="K118" s="23"/>
      <c r="L118" s="21"/>
      <c r="M118" s="23"/>
      <c r="N118" s="23"/>
      <c r="O118" s="23"/>
      <c r="P118" s="23"/>
      <c r="Q118" s="27"/>
    </row>
    <row r="119" spans="1:17" ht="19.2" customHeight="1">
      <c r="A119" s="19"/>
      <c r="B119" s="10" t="str">
        <f>HYPERLINK("https://drive.google.com/file/d/1D7IJLC2j6g3Inu8A7Blpu4lfV796f29a/view?usp=drivesdk","20260707_131200.jpg")</f>
        <v>20260707_131200.jpg</v>
      </c>
      <c r="C119" s="21"/>
      <c r="D119" s="21"/>
      <c r="E119" s="21"/>
      <c r="F119" s="23"/>
      <c r="G119" s="23"/>
      <c r="H119" s="25"/>
      <c r="I119" s="25"/>
      <c r="J119" s="21"/>
      <c r="K119" s="23"/>
      <c r="L119" s="21"/>
      <c r="M119" s="23"/>
      <c r="N119" s="23"/>
      <c r="O119" s="23"/>
      <c r="P119" s="23"/>
      <c r="Q119" s="27"/>
    </row>
    <row r="120" spans="1:17" ht="19.2" customHeight="1">
      <c r="A120" s="19" t="s">
        <v>178</v>
      </c>
      <c r="B120" s="10" t="str">
        <f>HYPERLINK("https://drive.google.com/file/d/1vMMa7W2bELvGzqArijX18RJxdGzVwtay/view?usp=drivesdk","20260707_131106.jpg")</f>
        <v>20260707_131106.jpg</v>
      </c>
      <c r="C120" s="21" t="s">
        <v>179</v>
      </c>
      <c r="D120" s="21" t="s">
        <v>154</v>
      </c>
      <c r="E120" s="21" t="s">
        <v>20</v>
      </c>
      <c r="F120" s="23">
        <v>1</v>
      </c>
      <c r="G120" s="23"/>
      <c r="H120" s="25"/>
      <c r="I120" s="25"/>
      <c r="J120" s="21" t="s">
        <v>154</v>
      </c>
      <c r="K120" s="23" t="s">
        <v>21</v>
      </c>
      <c r="L120" s="21" t="s">
        <v>22</v>
      </c>
      <c r="M120" s="23"/>
      <c r="N120" s="23"/>
      <c r="O120" s="23"/>
      <c r="P120" s="23"/>
      <c r="Q120" s="27"/>
    </row>
    <row r="121" spans="1:17" ht="19.2" customHeight="1">
      <c r="A121" s="19"/>
      <c r="B121" s="10" t="str">
        <f>HYPERLINK("https://drive.google.com/file/d/1qgCiYA0qTIa63pnOHH0Dwhd2AWhnD_8h/view?usp=drivesdk","20260707_131112.jpg")</f>
        <v>20260707_131112.jpg</v>
      </c>
      <c r="C121" s="21"/>
      <c r="D121" s="21"/>
      <c r="E121" s="21"/>
      <c r="F121" s="23"/>
      <c r="G121" s="23"/>
      <c r="H121" s="25"/>
      <c r="I121" s="25"/>
      <c r="J121" s="21"/>
      <c r="K121" s="23"/>
      <c r="L121" s="21"/>
      <c r="M121" s="23"/>
      <c r="N121" s="23"/>
      <c r="O121" s="23"/>
      <c r="P121" s="23"/>
      <c r="Q121" s="27"/>
    </row>
    <row r="122" spans="1:17" ht="19.2" customHeight="1">
      <c r="A122" s="19"/>
      <c r="B122" s="10" t="str">
        <f>HYPERLINK("https://drive.google.com/file/d/1n_6VOiQh6GG0P9lzkJjkSZeWMFmS51N7/view?usp=drivesdk","20260707_131126.jpg")</f>
        <v>20260707_131126.jpg</v>
      </c>
      <c r="C122" s="21"/>
      <c r="D122" s="21"/>
      <c r="E122" s="21"/>
      <c r="F122" s="23"/>
      <c r="G122" s="23"/>
      <c r="H122" s="25"/>
      <c r="I122" s="25"/>
      <c r="J122" s="21"/>
      <c r="K122" s="23"/>
      <c r="L122" s="21"/>
      <c r="M122" s="23"/>
      <c r="N122" s="23"/>
      <c r="O122" s="23"/>
      <c r="P122" s="23"/>
      <c r="Q122" s="27"/>
    </row>
    <row r="123" spans="1:17" ht="19.2" customHeight="1">
      <c r="A123" s="19" t="s">
        <v>180</v>
      </c>
      <c r="B123" s="10" t="str">
        <f>HYPERLINK("https://drive.google.com/file/d/1p83ELn1SHDXI2lI_rVmHcyEBgzkkX8W5/view?usp=drivesdk","20260707_125554.jpg")</f>
        <v>20260707_125554.jpg</v>
      </c>
      <c r="C123" s="21" t="s">
        <v>181</v>
      </c>
      <c r="D123" s="21" t="s">
        <v>154</v>
      </c>
      <c r="E123" s="21" t="s">
        <v>20</v>
      </c>
      <c r="F123" s="23">
        <v>1</v>
      </c>
      <c r="G123" s="23"/>
      <c r="H123" s="25"/>
      <c r="I123" s="25"/>
      <c r="J123" s="21" t="s">
        <v>154</v>
      </c>
      <c r="K123" s="23" t="s">
        <v>21</v>
      </c>
      <c r="L123" s="21" t="s">
        <v>22</v>
      </c>
      <c r="M123" s="23"/>
      <c r="N123" s="23"/>
      <c r="O123" s="23"/>
      <c r="P123" s="23"/>
      <c r="Q123" s="27"/>
    </row>
    <row r="124" spans="1:17" ht="19.2" customHeight="1">
      <c r="A124" s="19"/>
      <c r="B124" s="10" t="str">
        <f>HYPERLINK("https://drive.google.com/file/d/1ApBQClxNiia06r7oliJxemYRwj1C-cPS/view?usp=drivesdk","20260707_125556.jpg")</f>
        <v>20260707_125556.jpg</v>
      </c>
      <c r="C124" s="21"/>
      <c r="D124" s="21"/>
      <c r="E124" s="21"/>
      <c r="F124" s="23"/>
      <c r="G124" s="23"/>
      <c r="H124" s="25"/>
      <c r="I124" s="25"/>
      <c r="J124" s="21"/>
      <c r="K124" s="23"/>
      <c r="L124" s="21"/>
      <c r="M124" s="23"/>
      <c r="N124" s="23"/>
      <c r="O124" s="23"/>
      <c r="P124" s="23"/>
      <c r="Q124" s="27"/>
    </row>
    <row r="125" spans="1:17" ht="19.2" customHeight="1">
      <c r="A125" s="19"/>
      <c r="B125" s="10" t="str">
        <f>HYPERLINK("https://drive.google.com/file/d/1dWHQRjkV1FrfxpMgLORkq_ZyCvfwDYQy/view?usp=drivesdk","20260707_125606.jpg")</f>
        <v>20260707_125606.jpg</v>
      </c>
      <c r="C125" s="21"/>
      <c r="D125" s="21"/>
      <c r="E125" s="21"/>
      <c r="F125" s="23"/>
      <c r="G125" s="23"/>
      <c r="H125" s="25"/>
      <c r="I125" s="25"/>
      <c r="J125" s="21"/>
      <c r="K125" s="23"/>
      <c r="L125" s="21"/>
      <c r="M125" s="23"/>
      <c r="N125" s="23"/>
      <c r="O125" s="23"/>
      <c r="P125" s="23"/>
      <c r="Q125" s="27"/>
    </row>
    <row r="126" spans="1:17" ht="19.2" customHeight="1">
      <c r="A126" s="19"/>
      <c r="B126" s="10" t="str">
        <f>HYPERLINK("https://drive.google.com/file/d/19nOPcO06PCVYKWIFIvpFcz-xzdvIk3Qk/view?usp=drivesdk","20260707_125621.jpg")</f>
        <v>20260707_125621.jpg</v>
      </c>
      <c r="C126" s="21"/>
      <c r="D126" s="21"/>
      <c r="E126" s="21"/>
      <c r="F126" s="23"/>
      <c r="G126" s="23"/>
      <c r="H126" s="25"/>
      <c r="I126" s="25"/>
      <c r="J126" s="21"/>
      <c r="K126" s="23"/>
      <c r="L126" s="21"/>
      <c r="M126" s="23"/>
      <c r="N126" s="23"/>
      <c r="O126" s="23"/>
      <c r="P126" s="23"/>
      <c r="Q126" s="27"/>
    </row>
    <row r="127" spans="1:17" ht="19.2" customHeight="1">
      <c r="A127" s="19"/>
      <c r="B127" s="10" t="str">
        <f>HYPERLINK("https://drive.google.com/file/d/17eU3lbDbYcI0Pr5gq3MuVC-S_jMui9Jr/view?usp=drivesdk","20260707_125623.jpg")</f>
        <v>20260707_125623.jpg</v>
      </c>
      <c r="C127" s="21"/>
      <c r="D127" s="21"/>
      <c r="E127" s="21"/>
      <c r="F127" s="23"/>
      <c r="G127" s="23"/>
      <c r="H127" s="25"/>
      <c r="I127" s="25"/>
      <c r="J127" s="21"/>
      <c r="K127" s="23"/>
      <c r="L127" s="21"/>
      <c r="M127" s="23"/>
      <c r="N127" s="23"/>
      <c r="O127" s="23"/>
      <c r="P127" s="23"/>
      <c r="Q127" s="27"/>
    </row>
    <row r="128" spans="1:17" ht="19.2" customHeight="1">
      <c r="A128" s="19"/>
      <c r="B128" s="10" t="str">
        <f>HYPERLINK("https://drive.google.com/file/d/1mA7nmoKhxN3DMucuN6a7o94ARyIm5erA/view?usp=drivesdk","20260707_125640.jpg")</f>
        <v>20260707_125640.jpg</v>
      </c>
      <c r="C128" s="21"/>
      <c r="D128" s="21"/>
      <c r="E128" s="21"/>
      <c r="F128" s="23"/>
      <c r="G128" s="23"/>
      <c r="H128" s="25"/>
      <c r="I128" s="25"/>
      <c r="J128" s="21"/>
      <c r="K128" s="23"/>
      <c r="L128" s="21"/>
      <c r="M128" s="23"/>
      <c r="N128" s="23"/>
      <c r="O128" s="23"/>
      <c r="P128" s="23"/>
      <c r="Q128" s="27"/>
    </row>
    <row r="129" spans="1:17" ht="19.2" customHeight="1">
      <c r="A129" s="19"/>
      <c r="B129" s="10" t="str">
        <f>HYPERLINK("https://drive.google.com/file/d/110b636M0bDtU9USH6KAuxVCD8H8GdcNc/view?usp=drivesdk","20260707_125755.jpg")</f>
        <v>20260707_125755.jpg</v>
      </c>
      <c r="C129" s="21"/>
      <c r="D129" s="21"/>
      <c r="E129" s="21"/>
      <c r="F129" s="23"/>
      <c r="G129" s="23"/>
      <c r="H129" s="25"/>
      <c r="I129" s="25"/>
      <c r="J129" s="21"/>
      <c r="K129" s="23"/>
      <c r="L129" s="21"/>
      <c r="M129" s="23"/>
      <c r="N129" s="23"/>
      <c r="O129" s="23"/>
      <c r="P129" s="23"/>
      <c r="Q129" s="27"/>
    </row>
    <row r="130" spans="1:17" ht="19.2" customHeight="1">
      <c r="A130" s="19"/>
      <c r="B130" s="10" t="str">
        <f>HYPERLINK("https://drive.google.com/file/d/1kA6liAmIfFTAq_0lXtoEYEKJDyzm6xyB/view?usp=drivesdk","20260707_125850.jpg")</f>
        <v>20260707_125850.jpg</v>
      </c>
      <c r="C130" s="21"/>
      <c r="D130" s="21"/>
      <c r="E130" s="21"/>
      <c r="F130" s="23"/>
      <c r="G130" s="23"/>
      <c r="H130" s="25"/>
      <c r="I130" s="25"/>
      <c r="J130" s="21"/>
      <c r="K130" s="23"/>
      <c r="L130" s="21"/>
      <c r="M130" s="23"/>
      <c r="N130" s="23"/>
      <c r="O130" s="23"/>
      <c r="P130" s="23"/>
      <c r="Q130" s="27"/>
    </row>
    <row r="131" spans="1:17" ht="19.2" customHeight="1">
      <c r="A131" s="9" t="s">
        <v>182</v>
      </c>
      <c r="B131" s="10"/>
      <c r="C131" s="11" t="s">
        <v>183</v>
      </c>
      <c r="D131" s="11" t="s">
        <v>154</v>
      </c>
      <c r="E131" s="11" t="s">
        <v>20</v>
      </c>
      <c r="F131" s="10">
        <v>1</v>
      </c>
      <c r="G131" s="10"/>
      <c r="H131" s="12"/>
      <c r="I131" s="12"/>
      <c r="J131" s="11" t="s">
        <v>154</v>
      </c>
      <c r="K131" s="10" t="s">
        <v>21</v>
      </c>
      <c r="L131" s="11" t="s">
        <v>157</v>
      </c>
      <c r="M131" s="10"/>
      <c r="N131" s="10"/>
      <c r="O131" s="10"/>
      <c r="P131" s="10"/>
      <c r="Q131" s="13"/>
    </row>
    <row r="132" spans="1:17" ht="19.2" customHeight="1">
      <c r="A132" s="19" t="s">
        <v>184</v>
      </c>
      <c r="B132" s="10" t="str">
        <f>HYPERLINK("https://drive.google.com/file/d/18P7UPVhM0GenXr7aRHYpMAQjGpjTpolz/view?usp=drivesdk","20260707_130320.jpg")</f>
        <v>20260707_130320.jpg</v>
      </c>
      <c r="C132" s="21" t="s">
        <v>185</v>
      </c>
      <c r="D132" s="21" t="s">
        <v>154</v>
      </c>
      <c r="E132" s="21" t="s">
        <v>20</v>
      </c>
      <c r="F132" s="23">
        <v>1</v>
      </c>
      <c r="G132" s="23"/>
      <c r="H132" s="25"/>
      <c r="I132" s="25"/>
      <c r="J132" s="21" t="s">
        <v>154</v>
      </c>
      <c r="K132" s="23" t="s">
        <v>21</v>
      </c>
      <c r="L132" s="21" t="s">
        <v>186</v>
      </c>
      <c r="M132" s="23"/>
      <c r="N132" s="23"/>
      <c r="O132" s="23"/>
      <c r="P132" s="23"/>
      <c r="Q132" s="27"/>
    </row>
    <row r="133" spans="1:17" ht="19.2" customHeight="1">
      <c r="A133" s="19"/>
      <c r="B133" s="10" t="str">
        <f>HYPERLINK("https://drive.google.com/file/d/1sbfhF_1DBmXz8JAL3ppA49M1dtrw3T8s/view?usp=drivesdk","20260707_130325.jpg")</f>
        <v>20260707_130325.jpg</v>
      </c>
      <c r="C133" s="21"/>
      <c r="D133" s="21"/>
      <c r="E133" s="21"/>
      <c r="F133" s="23"/>
      <c r="G133" s="23"/>
      <c r="H133" s="25"/>
      <c r="I133" s="25"/>
      <c r="J133" s="21"/>
      <c r="K133" s="23"/>
      <c r="L133" s="21"/>
      <c r="M133" s="23"/>
      <c r="N133" s="23"/>
      <c r="O133" s="23"/>
      <c r="P133" s="23"/>
      <c r="Q133" s="27"/>
    </row>
    <row r="134" spans="1:17" ht="19.2" customHeight="1">
      <c r="A134" s="9" t="s">
        <v>187</v>
      </c>
      <c r="B134" s="10"/>
      <c r="C134" s="11" t="s">
        <v>188</v>
      </c>
      <c r="D134" s="11" t="s">
        <v>154</v>
      </c>
      <c r="E134" s="11" t="s">
        <v>20</v>
      </c>
      <c r="F134" s="10">
        <v>1</v>
      </c>
      <c r="G134" s="10"/>
      <c r="H134" s="12"/>
      <c r="I134" s="12"/>
      <c r="J134" s="11" t="s">
        <v>154</v>
      </c>
      <c r="K134" s="10" t="s">
        <v>21</v>
      </c>
      <c r="L134" s="11" t="s">
        <v>157</v>
      </c>
      <c r="M134" s="10"/>
      <c r="N134" s="10"/>
      <c r="O134" s="10"/>
      <c r="P134" s="10"/>
      <c r="Q134" s="13"/>
    </row>
    <row r="135" spans="1:17" ht="19.2" customHeight="1">
      <c r="A135" s="9" t="s">
        <v>189</v>
      </c>
      <c r="B135" s="10"/>
      <c r="C135" s="11" t="s">
        <v>190</v>
      </c>
      <c r="D135" s="11" t="s">
        <v>154</v>
      </c>
      <c r="E135" s="11" t="s">
        <v>20</v>
      </c>
      <c r="F135" s="10">
        <v>1</v>
      </c>
      <c r="G135" s="10"/>
      <c r="H135" s="12"/>
      <c r="I135" s="12"/>
      <c r="J135" s="11" t="s">
        <v>154</v>
      </c>
      <c r="K135" s="10" t="s">
        <v>21</v>
      </c>
      <c r="L135" s="11" t="s">
        <v>157</v>
      </c>
      <c r="M135" s="10"/>
      <c r="N135" s="10"/>
      <c r="O135" s="10"/>
      <c r="P135" s="10"/>
      <c r="Q135" s="13"/>
    </row>
    <row r="136" spans="1:17" ht="19.2" customHeight="1">
      <c r="A136" s="19" t="s">
        <v>191</v>
      </c>
      <c r="B136" s="10" t="str">
        <f>HYPERLINK("https://drive.google.com/file/d/1DbE-f57OC37z5UXZUNI5lemR9sF57bvh/view?usp=drivesdk","20260707_130234.jpg")</f>
        <v>20260707_130234.jpg</v>
      </c>
      <c r="C136" s="21" t="s">
        <v>192</v>
      </c>
      <c r="D136" s="21" t="s">
        <v>154</v>
      </c>
      <c r="E136" s="21" t="s">
        <v>20</v>
      </c>
      <c r="F136" s="23">
        <v>1</v>
      </c>
      <c r="G136" s="23"/>
      <c r="H136" s="25"/>
      <c r="I136" s="25"/>
      <c r="J136" s="21" t="s">
        <v>154</v>
      </c>
      <c r="K136" s="23" t="s">
        <v>21</v>
      </c>
      <c r="L136" s="21" t="s">
        <v>22</v>
      </c>
      <c r="M136" s="23"/>
      <c r="N136" s="23"/>
      <c r="O136" s="23"/>
      <c r="P136" s="23"/>
      <c r="Q136" s="27"/>
    </row>
    <row r="137" spans="1:17" ht="19.2" customHeight="1">
      <c r="A137" s="19"/>
      <c r="B137" s="10" t="str">
        <f>HYPERLINK("https://drive.google.com/file/d/1ryuOpIZX6yM34U0fVkqwdERNUuFpWNkR/view?usp=drivesdk","20260707_130240.jpg")</f>
        <v>20260707_130240.jpg</v>
      </c>
      <c r="C137" s="21"/>
      <c r="D137" s="21"/>
      <c r="E137" s="21"/>
      <c r="F137" s="23"/>
      <c r="G137" s="23"/>
      <c r="H137" s="25"/>
      <c r="I137" s="25"/>
      <c r="J137" s="21"/>
      <c r="K137" s="23"/>
      <c r="L137" s="21"/>
      <c r="M137" s="23"/>
      <c r="N137" s="23"/>
      <c r="O137" s="23"/>
      <c r="P137" s="23"/>
      <c r="Q137" s="27"/>
    </row>
    <row r="138" spans="1:17" ht="19.2" customHeight="1">
      <c r="A138" s="19"/>
      <c r="B138" s="10" t="str">
        <f>HYPERLINK("https://drive.google.com/file/d/11GdPfC7dnmHy4cGsw9OjgKyoc3Q1sdsF/view?usp=drivesdk","20260707_130252.jpg")</f>
        <v>20260707_130252.jpg</v>
      </c>
      <c r="C138" s="21"/>
      <c r="D138" s="21"/>
      <c r="E138" s="21"/>
      <c r="F138" s="23"/>
      <c r="G138" s="23"/>
      <c r="H138" s="25"/>
      <c r="I138" s="25"/>
      <c r="J138" s="21"/>
      <c r="K138" s="23"/>
      <c r="L138" s="21"/>
      <c r="M138" s="23"/>
      <c r="N138" s="23"/>
      <c r="O138" s="23"/>
      <c r="P138" s="23"/>
      <c r="Q138" s="27"/>
    </row>
    <row r="139" spans="1:17" ht="19.2" customHeight="1">
      <c r="A139" s="19" t="s">
        <v>193</v>
      </c>
      <c r="B139" s="10" t="str">
        <f>HYPERLINK("https://drive.google.com/file/d/1jBf_hHAFtQPIu1RIn2ww6tZY_nsrb3mM/view?usp=drivesdk","20260707_130258.jpg")</f>
        <v>20260707_130258.jpg</v>
      </c>
      <c r="C139" s="21" t="s">
        <v>194</v>
      </c>
      <c r="D139" s="21" t="s">
        <v>154</v>
      </c>
      <c r="E139" s="21" t="s">
        <v>20</v>
      </c>
      <c r="F139" s="23">
        <v>1</v>
      </c>
      <c r="G139" s="23"/>
      <c r="H139" s="25"/>
      <c r="I139" s="25"/>
      <c r="J139" s="21" t="s">
        <v>154</v>
      </c>
      <c r="K139" s="23" t="s">
        <v>21</v>
      </c>
      <c r="L139" s="21" t="s">
        <v>22</v>
      </c>
      <c r="M139" s="23"/>
      <c r="N139" s="23"/>
      <c r="O139" s="23"/>
      <c r="P139" s="23"/>
      <c r="Q139" s="27"/>
    </row>
    <row r="140" spans="1:17" ht="19.2" customHeight="1">
      <c r="A140" s="19"/>
      <c r="B140" s="10" t="str">
        <f>HYPERLINK("https://drive.google.com/file/d/1Uo5PAHKvdMnaoIwQKLWAjg9qyH80GRiM/view?usp=drivesdk","20260707_130313.jpg")</f>
        <v>20260707_130313.jpg</v>
      </c>
      <c r="C140" s="21"/>
      <c r="D140" s="21"/>
      <c r="E140" s="21"/>
      <c r="F140" s="23"/>
      <c r="G140" s="23"/>
      <c r="H140" s="25"/>
      <c r="I140" s="25"/>
      <c r="J140" s="21"/>
      <c r="K140" s="23"/>
      <c r="L140" s="21"/>
      <c r="M140" s="23"/>
      <c r="N140" s="23"/>
      <c r="O140" s="23"/>
      <c r="P140" s="23"/>
      <c r="Q140" s="27"/>
    </row>
    <row r="141" spans="1:17" ht="19.2" customHeight="1">
      <c r="A141" s="9" t="s">
        <v>195</v>
      </c>
      <c r="B141" s="10"/>
      <c r="C141" s="11" t="s">
        <v>196</v>
      </c>
      <c r="D141" s="11" t="s">
        <v>154</v>
      </c>
      <c r="E141" s="11" t="s">
        <v>20</v>
      </c>
      <c r="F141" s="10">
        <v>1</v>
      </c>
      <c r="G141" s="10"/>
      <c r="H141" s="12"/>
      <c r="I141" s="12"/>
      <c r="J141" s="11" t="s">
        <v>154</v>
      </c>
      <c r="K141" s="10" t="s">
        <v>21</v>
      </c>
      <c r="L141" s="11" t="s">
        <v>26</v>
      </c>
      <c r="M141" s="10"/>
      <c r="N141" s="10"/>
      <c r="O141" s="10"/>
      <c r="P141" s="10"/>
      <c r="Q141" s="13"/>
    </row>
    <row r="142" spans="1:17" ht="19.2" customHeight="1">
      <c r="A142" s="19" t="s">
        <v>197</v>
      </c>
      <c r="B142" s="10" t="str">
        <f>HYPERLINK("https://drive.google.com/file/d/1QAver3Bbd1hK7A4mjh_QB_5qMEBD8gmz/view?usp=drivesdk","20260707_125408.jpg")</f>
        <v>20260707_125408.jpg</v>
      </c>
      <c r="C142" s="21" t="s">
        <v>198</v>
      </c>
      <c r="D142" s="21" t="s">
        <v>154</v>
      </c>
      <c r="E142" s="21" t="s">
        <v>20</v>
      </c>
      <c r="F142" s="23">
        <v>1</v>
      </c>
      <c r="G142" s="23"/>
      <c r="H142" s="25"/>
      <c r="I142" s="25"/>
      <c r="J142" s="21" t="s">
        <v>154</v>
      </c>
      <c r="K142" s="23" t="s">
        <v>21</v>
      </c>
      <c r="L142" s="21" t="s">
        <v>22</v>
      </c>
      <c r="M142" s="23"/>
      <c r="N142" s="23"/>
      <c r="O142" s="23"/>
      <c r="P142" s="23"/>
      <c r="Q142" s="27"/>
    </row>
    <row r="143" spans="1:17" ht="19.2" customHeight="1">
      <c r="A143" s="19"/>
      <c r="B143" s="10" t="str">
        <f>HYPERLINK("https://drive.google.com/file/d/1AdTFYezq10N1OY5jkwzLnAG8M5StgKE_/view?usp=drivesdk","20260707_125412.jpg")</f>
        <v>20260707_125412.jpg</v>
      </c>
      <c r="C143" s="21"/>
      <c r="D143" s="21"/>
      <c r="E143" s="21"/>
      <c r="F143" s="23"/>
      <c r="G143" s="23"/>
      <c r="H143" s="25"/>
      <c r="I143" s="25"/>
      <c r="J143" s="21"/>
      <c r="K143" s="23"/>
      <c r="L143" s="21"/>
      <c r="M143" s="23"/>
      <c r="N143" s="23"/>
      <c r="O143" s="23"/>
      <c r="P143" s="23"/>
      <c r="Q143" s="27"/>
    </row>
    <row r="144" spans="1:17" ht="19.2" customHeight="1">
      <c r="A144" s="19"/>
      <c r="B144" s="10" t="str">
        <f>HYPERLINK("https://drive.google.com/file/d/1JKpyLPq3ezucPg5KSSLMD-9p8I3Z3_90/view?usp=drivesdk","20260707_125422.jpg")</f>
        <v>20260707_125422.jpg</v>
      </c>
      <c r="C144" s="21"/>
      <c r="D144" s="21"/>
      <c r="E144" s="21"/>
      <c r="F144" s="23"/>
      <c r="G144" s="23"/>
      <c r="H144" s="25"/>
      <c r="I144" s="25"/>
      <c r="J144" s="21"/>
      <c r="K144" s="23"/>
      <c r="L144" s="21"/>
      <c r="M144" s="23"/>
      <c r="N144" s="23"/>
      <c r="O144" s="23"/>
      <c r="P144" s="23"/>
      <c r="Q144" s="27"/>
    </row>
    <row r="145" spans="1:17" ht="19.2" customHeight="1">
      <c r="A145" s="19"/>
      <c r="B145" s="10" t="str">
        <f>HYPERLINK("https://drive.google.com/file/d/18wrCFydmrkvrpgzFu8tp1mZTxRiMk0Hg/view?usp=drivesdk","20260707_125427.jpg")</f>
        <v>20260707_125427.jpg</v>
      </c>
      <c r="C145" s="21"/>
      <c r="D145" s="21"/>
      <c r="E145" s="21"/>
      <c r="F145" s="23"/>
      <c r="G145" s="23"/>
      <c r="H145" s="25"/>
      <c r="I145" s="25"/>
      <c r="J145" s="21"/>
      <c r="K145" s="23"/>
      <c r="L145" s="21"/>
      <c r="M145" s="23"/>
      <c r="N145" s="23"/>
      <c r="O145" s="23"/>
      <c r="P145" s="23"/>
      <c r="Q145" s="27"/>
    </row>
    <row r="146" spans="1:17" ht="19.2" customHeight="1">
      <c r="A146" s="19" t="s">
        <v>199</v>
      </c>
      <c r="B146" s="10" t="str">
        <f>HYPERLINK("https://drive.google.com/file/d/1PcmI6G21LQg3ExUqoz2b4VX5qFKMBUFR/view?usp=drivesdk","20260707_125336.jpg")</f>
        <v>20260707_125336.jpg</v>
      </c>
      <c r="C146" s="21" t="s">
        <v>200</v>
      </c>
      <c r="D146" s="21" t="s">
        <v>154</v>
      </c>
      <c r="E146" s="21" t="s">
        <v>20</v>
      </c>
      <c r="F146" s="23">
        <v>1</v>
      </c>
      <c r="G146" s="23"/>
      <c r="H146" s="25"/>
      <c r="I146" s="25"/>
      <c r="J146" s="21" t="s">
        <v>154</v>
      </c>
      <c r="K146" s="23" t="s">
        <v>21</v>
      </c>
      <c r="L146" s="21" t="s">
        <v>22</v>
      </c>
      <c r="M146" s="23"/>
      <c r="N146" s="23"/>
      <c r="O146" s="23"/>
      <c r="P146" s="23"/>
      <c r="Q146" s="27"/>
    </row>
    <row r="147" spans="1:17" ht="19.2" customHeight="1">
      <c r="A147" s="19"/>
      <c r="B147" s="10" t="str">
        <f>HYPERLINK("https://drive.google.com/file/d/163XPhwjEBV2LRs4UFwB02NUaS0SyErCq/view?usp=drivesdk","20260707_125345.jpg")</f>
        <v>20260707_125345.jpg</v>
      </c>
      <c r="C147" s="21"/>
      <c r="D147" s="21"/>
      <c r="E147" s="21"/>
      <c r="F147" s="23"/>
      <c r="G147" s="23"/>
      <c r="H147" s="25"/>
      <c r="I147" s="25"/>
      <c r="J147" s="21"/>
      <c r="K147" s="23"/>
      <c r="L147" s="21"/>
      <c r="M147" s="23"/>
      <c r="N147" s="23"/>
      <c r="O147" s="23"/>
      <c r="P147" s="23"/>
      <c r="Q147" s="27"/>
    </row>
    <row r="148" spans="1:17" ht="19.2" customHeight="1">
      <c r="A148" s="19"/>
      <c r="B148" s="10" t="str">
        <f>HYPERLINK("https://drive.google.com/file/d/160yxQMw8lLLbhRIe9Ua1roqwmv5GgBko/view?usp=drivesdk","20260707_125353.jpg")</f>
        <v>20260707_125353.jpg</v>
      </c>
      <c r="C148" s="21"/>
      <c r="D148" s="21"/>
      <c r="E148" s="21"/>
      <c r="F148" s="23"/>
      <c r="G148" s="23"/>
      <c r="H148" s="25"/>
      <c r="I148" s="25"/>
      <c r="J148" s="21"/>
      <c r="K148" s="23"/>
      <c r="L148" s="21"/>
      <c r="M148" s="23"/>
      <c r="N148" s="23"/>
      <c r="O148" s="23"/>
      <c r="P148" s="23"/>
      <c r="Q148" s="27"/>
    </row>
    <row r="149" spans="1:17" ht="19.2" customHeight="1">
      <c r="A149" s="19"/>
      <c r="B149" s="10" t="str">
        <f>HYPERLINK("https://drive.google.com/file/d/1o1DZ_5W4SlBw6vJSkdmteWrdWLmDHMFV/view?usp=drivesdk","20260707_125356.jpg")</f>
        <v>20260707_125356.jpg</v>
      </c>
      <c r="C149" s="21"/>
      <c r="D149" s="21"/>
      <c r="E149" s="21"/>
      <c r="F149" s="23"/>
      <c r="G149" s="23"/>
      <c r="H149" s="25"/>
      <c r="I149" s="25"/>
      <c r="J149" s="21"/>
      <c r="K149" s="23"/>
      <c r="L149" s="21"/>
      <c r="M149" s="23"/>
      <c r="N149" s="23"/>
      <c r="O149" s="23"/>
      <c r="P149" s="23"/>
      <c r="Q149" s="27"/>
    </row>
    <row r="150" spans="1:17" ht="19.2" customHeight="1">
      <c r="A150" s="19" t="s">
        <v>201</v>
      </c>
      <c r="B150" s="10" t="str">
        <f>HYPERLINK("https://drive.google.com/file/d/1mP6gE3lFcBG7SBkV5-maYAKDYDIJnyo8/view?usp=drivesdk","20260707_130805.jpg")</f>
        <v>20260707_130805.jpg</v>
      </c>
      <c r="C150" s="21" t="s">
        <v>202</v>
      </c>
      <c r="D150" s="21" t="s">
        <v>154</v>
      </c>
      <c r="E150" s="21" t="s">
        <v>20</v>
      </c>
      <c r="F150" s="23">
        <v>1</v>
      </c>
      <c r="G150" s="23"/>
      <c r="H150" s="25"/>
      <c r="I150" s="25"/>
      <c r="J150" s="21" t="s">
        <v>154</v>
      </c>
      <c r="K150" s="23" t="s">
        <v>21</v>
      </c>
      <c r="L150" s="21" t="s">
        <v>22</v>
      </c>
      <c r="M150" s="23"/>
      <c r="N150" s="23"/>
      <c r="O150" s="23"/>
      <c r="P150" s="23"/>
      <c r="Q150" s="27"/>
    </row>
    <row r="151" spans="1:17" ht="19.2" customHeight="1">
      <c r="A151" s="19"/>
      <c r="B151" s="10" t="str">
        <f>HYPERLINK("https://drive.google.com/file/d/1wr2SuJd-u2Eq4n-3psLB24UN6YLUBX1L/view?usp=drivesdk","20260707_130822.jpg")</f>
        <v>20260707_130822.jpg</v>
      </c>
      <c r="C151" s="21"/>
      <c r="D151" s="21"/>
      <c r="E151" s="21"/>
      <c r="F151" s="23"/>
      <c r="G151" s="23"/>
      <c r="H151" s="25"/>
      <c r="I151" s="25"/>
      <c r="J151" s="21"/>
      <c r="K151" s="23"/>
      <c r="L151" s="21"/>
      <c r="M151" s="23"/>
      <c r="N151" s="23"/>
      <c r="O151" s="23"/>
      <c r="P151" s="23"/>
      <c r="Q151" s="27"/>
    </row>
    <row r="152" spans="1:17" ht="19.2" customHeight="1">
      <c r="A152" s="19"/>
      <c r="B152" s="10" t="str">
        <f>HYPERLINK("https://drive.google.com/file/d/1glJcJp0GGGV3_J6Iv7_9EGD_2vzO8OSv/view?usp=drivesdk","20260707_130843.jpg")</f>
        <v>20260707_130843.jpg</v>
      </c>
      <c r="C152" s="21"/>
      <c r="D152" s="21"/>
      <c r="E152" s="21"/>
      <c r="F152" s="23"/>
      <c r="G152" s="23"/>
      <c r="H152" s="25"/>
      <c r="I152" s="25"/>
      <c r="J152" s="21"/>
      <c r="K152" s="23"/>
      <c r="L152" s="21"/>
      <c r="M152" s="23"/>
      <c r="N152" s="23"/>
      <c r="O152" s="23"/>
      <c r="P152" s="23"/>
      <c r="Q152" s="27"/>
    </row>
    <row r="153" spans="1:17" ht="19.2" customHeight="1">
      <c r="A153" s="19"/>
      <c r="B153" s="10" t="str">
        <f>HYPERLINK("https://drive.google.com/file/d/1mujiFmRXd1QzieotW8cnKu9FgEJviaCM/view?usp=drivesdk","20260707_130848.jpg")</f>
        <v>20260707_130848.jpg</v>
      </c>
      <c r="C153" s="21"/>
      <c r="D153" s="21"/>
      <c r="E153" s="21"/>
      <c r="F153" s="23"/>
      <c r="G153" s="23"/>
      <c r="H153" s="25"/>
      <c r="I153" s="25"/>
      <c r="J153" s="21"/>
      <c r="K153" s="23"/>
      <c r="L153" s="21"/>
      <c r="M153" s="23"/>
      <c r="N153" s="23"/>
      <c r="O153" s="23"/>
      <c r="P153" s="23"/>
      <c r="Q153" s="27"/>
    </row>
    <row r="154" spans="1:17" ht="19.2" customHeight="1">
      <c r="A154" s="19" t="s">
        <v>203</v>
      </c>
      <c r="B154" s="10" t="str">
        <f>HYPERLINK("https://drive.google.com/file/d/1GGp6-Wv8SNSqj-2KyqqpikpJTeQC_M2H/view?usp=drivesdk","20260707_125957.jpg")</f>
        <v>20260707_125957.jpg</v>
      </c>
      <c r="C154" s="21" t="s">
        <v>204</v>
      </c>
      <c r="D154" s="21" t="s">
        <v>154</v>
      </c>
      <c r="E154" s="21" t="s">
        <v>20</v>
      </c>
      <c r="F154" s="23">
        <v>1</v>
      </c>
      <c r="G154" s="23"/>
      <c r="H154" s="25"/>
      <c r="I154" s="25"/>
      <c r="J154" s="21" t="s">
        <v>154</v>
      </c>
      <c r="K154" s="23" t="s">
        <v>21</v>
      </c>
      <c r="L154" s="21" t="s">
        <v>22</v>
      </c>
      <c r="M154" s="23"/>
      <c r="N154" s="23"/>
      <c r="O154" s="23"/>
      <c r="P154" s="23"/>
      <c r="Q154" s="27"/>
    </row>
    <row r="155" spans="1:17" ht="19.2" customHeight="1">
      <c r="A155" s="19"/>
      <c r="B155" s="10" t="str">
        <f>HYPERLINK("https://drive.google.com/file/d/11RdvpIs8MgfOPdEF8ncoTZxoD9S8t4C5/view?usp=drivesdk","20260707_130003.jpg")</f>
        <v>20260707_130003.jpg</v>
      </c>
      <c r="C155" s="21"/>
      <c r="D155" s="21"/>
      <c r="E155" s="21"/>
      <c r="F155" s="23"/>
      <c r="G155" s="23"/>
      <c r="H155" s="25"/>
      <c r="I155" s="25"/>
      <c r="J155" s="21"/>
      <c r="K155" s="23"/>
      <c r="L155" s="21"/>
      <c r="M155" s="23"/>
      <c r="N155" s="23"/>
      <c r="O155" s="23"/>
      <c r="P155" s="23"/>
      <c r="Q155" s="27"/>
    </row>
    <row r="156" spans="1:17" ht="19.2" customHeight="1">
      <c r="A156" s="19"/>
      <c r="B156" s="10" t="str">
        <f>HYPERLINK("https://drive.google.com/file/d/1TztG9FMjHTxyA8V284_GKhCmYUPfwZvL/view?usp=drivesdk","20260707_130011.jpg")</f>
        <v>20260707_130011.jpg</v>
      </c>
      <c r="C156" s="21"/>
      <c r="D156" s="21"/>
      <c r="E156" s="21"/>
      <c r="F156" s="23"/>
      <c r="G156" s="23"/>
      <c r="H156" s="25"/>
      <c r="I156" s="25"/>
      <c r="J156" s="21"/>
      <c r="K156" s="23"/>
      <c r="L156" s="21"/>
      <c r="M156" s="23"/>
      <c r="N156" s="23"/>
      <c r="O156" s="23"/>
      <c r="P156" s="23"/>
      <c r="Q156" s="27"/>
    </row>
    <row r="157" spans="1:17" ht="19.2" customHeight="1">
      <c r="A157" s="19" t="s">
        <v>205</v>
      </c>
      <c r="B157" s="10" t="str">
        <f>HYPERLINK("https://drive.google.com/file/d/1mUnEbHe71i-If4anuluM5if018QbIV1y/view?usp=drivesdk","20260707_132701.jpg")</f>
        <v>20260707_132701.jpg</v>
      </c>
      <c r="C157" s="21" t="s">
        <v>206</v>
      </c>
      <c r="D157" s="21" t="s">
        <v>154</v>
      </c>
      <c r="E157" s="21" t="s">
        <v>20</v>
      </c>
      <c r="F157" s="23">
        <v>1</v>
      </c>
      <c r="G157" s="23"/>
      <c r="H157" s="25"/>
      <c r="I157" s="25"/>
      <c r="J157" s="21" t="s">
        <v>154</v>
      </c>
      <c r="K157" s="23" t="s">
        <v>21</v>
      </c>
      <c r="L157" s="21" t="s">
        <v>22</v>
      </c>
      <c r="M157" s="23"/>
      <c r="N157" s="23"/>
      <c r="O157" s="23"/>
      <c r="P157" s="23"/>
      <c r="Q157" s="27"/>
    </row>
    <row r="158" spans="1:17" ht="19.2" customHeight="1">
      <c r="A158" s="19"/>
      <c r="B158" s="10" t="str">
        <f>HYPERLINK("https://drive.google.com/file/d/1uxBSPNXrWJNjwfng-n5xESvyvLZBuipH/view?usp=drivesdk","20260707_132709.jpg")</f>
        <v>20260707_132709.jpg</v>
      </c>
      <c r="C158" s="21"/>
      <c r="D158" s="21"/>
      <c r="E158" s="21"/>
      <c r="F158" s="23"/>
      <c r="G158" s="23"/>
      <c r="H158" s="25"/>
      <c r="I158" s="25"/>
      <c r="J158" s="21"/>
      <c r="K158" s="23"/>
      <c r="L158" s="21"/>
      <c r="M158" s="23"/>
      <c r="N158" s="23"/>
      <c r="O158" s="23"/>
      <c r="P158" s="23"/>
      <c r="Q158" s="27"/>
    </row>
    <row r="159" spans="1:17" ht="19.2" customHeight="1">
      <c r="A159" s="19"/>
      <c r="B159" s="10" t="str">
        <f>HYPERLINK("https://drive.google.com/file/d/1vU9TDfAwrOhJDYuNggN6x5ptJROKscbE/view?usp=drivesdk","20260707_132718.jpg")</f>
        <v>20260707_132718.jpg</v>
      </c>
      <c r="C159" s="21"/>
      <c r="D159" s="21"/>
      <c r="E159" s="21"/>
      <c r="F159" s="23"/>
      <c r="G159" s="23"/>
      <c r="H159" s="25"/>
      <c r="I159" s="25"/>
      <c r="J159" s="21"/>
      <c r="K159" s="23"/>
      <c r="L159" s="21"/>
      <c r="M159" s="23"/>
      <c r="N159" s="23"/>
      <c r="O159" s="23"/>
      <c r="P159" s="23"/>
      <c r="Q159" s="27"/>
    </row>
    <row r="160" spans="1:17" ht="19.2" customHeight="1">
      <c r="A160" s="19"/>
      <c r="B160" s="10" t="str">
        <f>HYPERLINK("https://drive.google.com/file/d/1Gi311wxDmOgMynLcy3jKVRh0LmWF-B4e/view?usp=drivesdk","20260707_132726.jpg")</f>
        <v>20260707_132726.jpg</v>
      </c>
      <c r="C160" s="21"/>
      <c r="D160" s="21"/>
      <c r="E160" s="21"/>
      <c r="F160" s="23"/>
      <c r="G160" s="23"/>
      <c r="H160" s="25"/>
      <c r="I160" s="25"/>
      <c r="J160" s="21"/>
      <c r="K160" s="23"/>
      <c r="L160" s="21"/>
      <c r="M160" s="23"/>
      <c r="N160" s="23"/>
      <c r="O160" s="23"/>
      <c r="P160" s="23"/>
      <c r="Q160" s="27"/>
    </row>
    <row r="161" spans="1:17" ht="19.2" customHeight="1">
      <c r="A161" s="19"/>
      <c r="B161" s="10" t="str">
        <f>HYPERLINK("https://drive.google.com/file/d/1rUT4RyhqOJjRMc23MvRB7eNSPOHov5j5/view?usp=drivesdk","20260707_163346.jpg")</f>
        <v>20260707_163346.jpg</v>
      </c>
      <c r="C161" s="21"/>
      <c r="D161" s="21"/>
      <c r="E161" s="21"/>
      <c r="F161" s="23"/>
      <c r="G161" s="23"/>
      <c r="H161" s="25"/>
      <c r="I161" s="25"/>
      <c r="J161" s="21"/>
      <c r="K161" s="23"/>
      <c r="L161" s="21"/>
      <c r="M161" s="23"/>
      <c r="N161" s="23"/>
      <c r="O161" s="23"/>
      <c r="P161" s="23"/>
      <c r="Q161" s="27"/>
    </row>
    <row r="162" spans="1:17" ht="19.2" customHeight="1">
      <c r="A162" s="19"/>
      <c r="B162" s="10" t="str">
        <f>HYPERLINK("https://drive.google.com/file/d/1u4TO2TjzE9IQDlA1-3ywtNHT_zDAT8bo/view?usp=drivesdk","20260707_163352.jpg")</f>
        <v>20260707_163352.jpg</v>
      </c>
      <c r="C162" s="21"/>
      <c r="D162" s="21"/>
      <c r="E162" s="21"/>
      <c r="F162" s="23"/>
      <c r="G162" s="23"/>
      <c r="H162" s="25"/>
      <c r="I162" s="25"/>
      <c r="J162" s="21"/>
      <c r="K162" s="23"/>
      <c r="L162" s="21"/>
      <c r="M162" s="23"/>
      <c r="N162" s="23"/>
      <c r="O162" s="23"/>
      <c r="P162" s="23"/>
      <c r="Q162" s="27"/>
    </row>
    <row r="163" spans="1:17" ht="19.2" customHeight="1">
      <c r="A163" s="19" t="s">
        <v>207</v>
      </c>
      <c r="B163" s="10" t="str">
        <f>HYPERLINK("https://drive.google.com/file/d/1ckd1-jyz7Cspfr2uy-R2ZOReZfkteZH0/view?usp=drivesdk","20260707_132410.jpg")</f>
        <v>20260707_132410.jpg</v>
      </c>
      <c r="C163" s="21" t="s">
        <v>208</v>
      </c>
      <c r="D163" s="21" t="s">
        <v>154</v>
      </c>
      <c r="E163" s="21" t="s">
        <v>20</v>
      </c>
      <c r="F163" s="23">
        <v>1</v>
      </c>
      <c r="G163" s="23"/>
      <c r="H163" s="25"/>
      <c r="I163" s="25"/>
      <c r="J163" s="21" t="s">
        <v>154</v>
      </c>
      <c r="K163" s="23" t="s">
        <v>21</v>
      </c>
      <c r="L163" s="21" t="s">
        <v>22</v>
      </c>
      <c r="M163" s="23"/>
      <c r="N163" s="23"/>
      <c r="O163" s="23"/>
      <c r="P163" s="23"/>
      <c r="Q163" s="27"/>
    </row>
    <row r="164" spans="1:17" ht="19.2" customHeight="1">
      <c r="A164" s="19"/>
      <c r="B164" s="10" t="str">
        <f>HYPERLINK("https://drive.google.com/file/d/158A_qQe6VT47720KhetInipuL22ipO64/view?usp=drivesdk","20260707_132416.jpg")</f>
        <v>20260707_132416.jpg</v>
      </c>
      <c r="C164" s="21"/>
      <c r="D164" s="21"/>
      <c r="E164" s="21"/>
      <c r="F164" s="23"/>
      <c r="G164" s="23"/>
      <c r="H164" s="25"/>
      <c r="I164" s="25"/>
      <c r="J164" s="21"/>
      <c r="K164" s="23"/>
      <c r="L164" s="21"/>
      <c r="M164" s="23"/>
      <c r="N164" s="23"/>
      <c r="O164" s="23"/>
      <c r="P164" s="23"/>
      <c r="Q164" s="27"/>
    </row>
    <row r="165" spans="1:17" ht="19.2" customHeight="1">
      <c r="A165" s="19"/>
      <c r="B165" s="10" t="str">
        <f>HYPERLINK("https://drive.google.com/file/d/1XQBcyzB0gppoNfYWeZl_DEHUeaLUJKVm/view?usp=drivesdk","20260707_132421.jpg")</f>
        <v>20260707_132421.jpg</v>
      </c>
      <c r="C165" s="21"/>
      <c r="D165" s="21"/>
      <c r="E165" s="21"/>
      <c r="F165" s="23"/>
      <c r="G165" s="23"/>
      <c r="H165" s="25"/>
      <c r="I165" s="25"/>
      <c r="J165" s="21"/>
      <c r="K165" s="23"/>
      <c r="L165" s="21"/>
      <c r="M165" s="23"/>
      <c r="N165" s="23"/>
      <c r="O165" s="23"/>
      <c r="P165" s="23"/>
      <c r="Q165" s="27"/>
    </row>
    <row r="166" spans="1:17" ht="19.2" customHeight="1">
      <c r="A166" s="9" t="s">
        <v>209</v>
      </c>
      <c r="B166" s="10"/>
      <c r="C166" s="11" t="s">
        <v>210</v>
      </c>
      <c r="D166" s="11" t="s">
        <v>211</v>
      </c>
      <c r="E166" s="11" t="s">
        <v>20</v>
      </c>
      <c r="F166" s="10">
        <v>1</v>
      </c>
      <c r="G166" s="10"/>
      <c r="H166" s="12"/>
      <c r="I166" s="12"/>
      <c r="J166" s="11" t="s">
        <v>211</v>
      </c>
      <c r="K166" s="10" t="s">
        <v>21</v>
      </c>
      <c r="L166" s="11" t="s">
        <v>47</v>
      </c>
      <c r="M166" s="10"/>
      <c r="N166" s="10"/>
      <c r="O166" s="10"/>
      <c r="P166" s="10"/>
      <c r="Q166" s="13"/>
    </row>
    <row r="167" spans="1:17" ht="19.2" customHeight="1">
      <c r="A167" s="9" t="s">
        <v>212</v>
      </c>
      <c r="B167" s="10"/>
      <c r="C167" s="11" t="s">
        <v>213</v>
      </c>
      <c r="D167" s="11" t="s">
        <v>211</v>
      </c>
      <c r="E167" s="11" t="s">
        <v>20</v>
      </c>
      <c r="F167" s="10">
        <v>1</v>
      </c>
      <c r="G167" s="10"/>
      <c r="H167" s="12"/>
      <c r="I167" s="12"/>
      <c r="J167" s="11" t="s">
        <v>211</v>
      </c>
      <c r="K167" s="10" t="s">
        <v>21</v>
      </c>
      <c r="L167" s="11" t="s">
        <v>47</v>
      </c>
      <c r="M167" s="10"/>
      <c r="N167" s="10"/>
      <c r="O167" s="10"/>
      <c r="P167" s="10"/>
      <c r="Q167" s="13"/>
    </row>
    <row r="168" spans="1:17" ht="19.2" customHeight="1">
      <c r="A168" s="9" t="s">
        <v>214</v>
      </c>
      <c r="B168" s="10"/>
      <c r="C168" s="11" t="s">
        <v>215</v>
      </c>
      <c r="D168" s="11" t="s">
        <v>215</v>
      </c>
      <c r="E168" s="11" t="s">
        <v>20</v>
      </c>
      <c r="F168" s="10">
        <v>1</v>
      </c>
      <c r="G168" s="10"/>
      <c r="H168" s="12"/>
      <c r="I168" s="12"/>
      <c r="J168" s="11" t="s">
        <v>215</v>
      </c>
      <c r="K168" s="10" t="s">
        <v>21</v>
      </c>
      <c r="L168" s="11" t="s">
        <v>47</v>
      </c>
      <c r="M168" s="10"/>
      <c r="N168" s="10"/>
      <c r="O168" s="10"/>
      <c r="P168" s="10"/>
      <c r="Q168" s="13"/>
    </row>
    <row r="169" spans="1:17" ht="19.2" customHeight="1">
      <c r="A169" s="9" t="s">
        <v>216</v>
      </c>
      <c r="B169" s="10"/>
      <c r="C169" s="11" t="s">
        <v>217</v>
      </c>
      <c r="D169" s="11" t="s">
        <v>218</v>
      </c>
      <c r="E169" s="11" t="s">
        <v>20</v>
      </c>
      <c r="F169" s="10">
        <v>1</v>
      </c>
      <c r="G169" s="10"/>
      <c r="H169" s="12"/>
      <c r="I169" s="12"/>
      <c r="J169" s="11" t="s">
        <v>218</v>
      </c>
      <c r="K169" s="10" t="s">
        <v>21</v>
      </c>
      <c r="L169" s="11" t="s">
        <v>26</v>
      </c>
      <c r="M169" s="10"/>
      <c r="N169" s="10"/>
      <c r="O169" s="10"/>
      <c r="P169" s="10"/>
      <c r="Q169" s="13"/>
    </row>
    <row r="170" spans="1:17" ht="19.2" customHeight="1">
      <c r="A170" s="19" t="s">
        <v>219</v>
      </c>
      <c r="B170" s="10" t="str">
        <f>HYPERLINK("https://drive.google.com/file/d/1WV37a_GiQzUhrwr2GSj1DB_8V2CYeoU1/view?usp=drivesdk","20260707_145253.jpg")</f>
        <v>20260707_145253.jpg</v>
      </c>
      <c r="C170" s="21" t="s">
        <v>220</v>
      </c>
      <c r="D170" s="21" t="s">
        <v>221</v>
      </c>
      <c r="E170" s="21" t="s">
        <v>20</v>
      </c>
      <c r="F170" s="23">
        <v>1</v>
      </c>
      <c r="G170" s="23"/>
      <c r="H170" s="25"/>
      <c r="I170" s="25"/>
      <c r="J170" s="21" t="s">
        <v>221</v>
      </c>
      <c r="K170" s="23" t="s">
        <v>21</v>
      </c>
      <c r="L170" s="21" t="s">
        <v>22</v>
      </c>
      <c r="M170" s="23"/>
      <c r="N170" s="23"/>
      <c r="O170" s="23"/>
      <c r="P170" s="23"/>
      <c r="Q170" s="27"/>
    </row>
    <row r="171" spans="1:17" ht="19.2" customHeight="1">
      <c r="A171" s="19"/>
      <c r="B171" s="10" t="str">
        <f>HYPERLINK("https://drive.google.com/file/d/1h6rJXvjNKiisRuDipbI-rm3Zz4NSrx5s/view?usp=drivesdk","20260707_145256.jpg")</f>
        <v>20260707_145256.jpg</v>
      </c>
      <c r="C171" s="21"/>
      <c r="D171" s="21"/>
      <c r="E171" s="21"/>
      <c r="F171" s="23"/>
      <c r="G171" s="23"/>
      <c r="H171" s="25"/>
      <c r="I171" s="25"/>
      <c r="J171" s="21"/>
      <c r="K171" s="23"/>
      <c r="L171" s="21"/>
      <c r="M171" s="23"/>
      <c r="N171" s="23"/>
      <c r="O171" s="23"/>
      <c r="P171" s="23"/>
      <c r="Q171" s="27"/>
    </row>
    <row r="172" spans="1:17" ht="19.2" customHeight="1">
      <c r="A172" s="19"/>
      <c r="B172" s="10" t="str">
        <f>HYPERLINK("https://drive.google.com/file/d/1Mnzr_kINbLdpXL-EHZKR74UZpGU_m4gT/view?usp=drivesdk","20260707_161436.jpg")</f>
        <v>20260707_161436.jpg</v>
      </c>
      <c r="C172" s="21"/>
      <c r="D172" s="21"/>
      <c r="E172" s="21"/>
      <c r="F172" s="23"/>
      <c r="G172" s="23"/>
      <c r="H172" s="25"/>
      <c r="I172" s="25"/>
      <c r="J172" s="21"/>
      <c r="K172" s="23"/>
      <c r="L172" s="21"/>
      <c r="M172" s="23"/>
      <c r="N172" s="23"/>
      <c r="O172" s="23"/>
      <c r="P172" s="23"/>
      <c r="Q172" s="27"/>
    </row>
    <row r="173" spans="1:17" ht="19.2" customHeight="1">
      <c r="A173" s="19"/>
      <c r="B173" s="10" t="str">
        <f>HYPERLINK("https://drive.google.com/file/d/1rO0xk3N3oefOcY2Bu_TmuR_n9HbrNaAa/view?usp=drivesdk","20260707_161448.jpg")</f>
        <v>20260707_161448.jpg</v>
      </c>
      <c r="C173" s="21"/>
      <c r="D173" s="21"/>
      <c r="E173" s="21"/>
      <c r="F173" s="23"/>
      <c r="G173" s="23"/>
      <c r="H173" s="25"/>
      <c r="I173" s="25"/>
      <c r="J173" s="21"/>
      <c r="K173" s="23"/>
      <c r="L173" s="21"/>
      <c r="M173" s="23"/>
      <c r="N173" s="23"/>
      <c r="O173" s="23"/>
      <c r="P173" s="23"/>
      <c r="Q173" s="27"/>
    </row>
    <row r="174" spans="1:17" ht="19.2" customHeight="1">
      <c r="A174" s="19"/>
      <c r="B174" s="10" t="str">
        <f>HYPERLINK("https://drive.google.com/file/d/1Si8M_g4_4lNJAxpx09GP2zrv2Mx8calI/view?usp=drivesdk","20260707_161453.jpg")</f>
        <v>20260707_161453.jpg</v>
      </c>
      <c r="C174" s="21"/>
      <c r="D174" s="21"/>
      <c r="E174" s="21"/>
      <c r="F174" s="23"/>
      <c r="G174" s="23"/>
      <c r="H174" s="25"/>
      <c r="I174" s="25"/>
      <c r="J174" s="21"/>
      <c r="K174" s="23"/>
      <c r="L174" s="21"/>
      <c r="M174" s="23"/>
      <c r="N174" s="23"/>
      <c r="O174" s="23"/>
      <c r="P174" s="23"/>
      <c r="Q174" s="27"/>
    </row>
    <row r="175" spans="1:17" ht="19.2" customHeight="1">
      <c r="A175" s="19" t="s">
        <v>222</v>
      </c>
      <c r="B175" s="10" t="str">
        <f>HYPERLINK("https://drive.google.com/file/d/1qq4sllSlT37bXD9LBO7RU-KmRfBOvhNj/view?usp=drivesdk","20260707_145852.jpg")</f>
        <v>20260707_145852.jpg</v>
      </c>
      <c r="C175" s="21" t="s">
        <v>223</v>
      </c>
      <c r="D175" s="21" t="s">
        <v>221</v>
      </c>
      <c r="E175" s="21" t="s">
        <v>20</v>
      </c>
      <c r="F175" s="23">
        <v>1</v>
      </c>
      <c r="G175" s="23"/>
      <c r="H175" s="25"/>
      <c r="I175" s="25"/>
      <c r="J175" s="21" t="s">
        <v>221</v>
      </c>
      <c r="K175" s="23" t="s">
        <v>21</v>
      </c>
      <c r="L175" s="21" t="s">
        <v>22</v>
      </c>
      <c r="M175" s="23"/>
      <c r="N175" s="23"/>
      <c r="O175" s="23"/>
      <c r="P175" s="23"/>
      <c r="Q175" s="27"/>
    </row>
    <row r="176" spans="1:17" ht="19.2" customHeight="1">
      <c r="A176" s="19"/>
      <c r="B176" s="10" t="str">
        <f>HYPERLINK("https://drive.google.com/file/d/1Q_pfy-fG1V4DRx6cmnjGaedTpr8KhPVG/view?usp=drivesdk","20260707_145924.jpg")</f>
        <v>20260707_145924.jpg</v>
      </c>
      <c r="C176" s="21"/>
      <c r="D176" s="21"/>
      <c r="E176" s="21"/>
      <c r="F176" s="23"/>
      <c r="G176" s="23"/>
      <c r="H176" s="25"/>
      <c r="I176" s="25"/>
      <c r="J176" s="21"/>
      <c r="K176" s="23"/>
      <c r="L176" s="21"/>
      <c r="M176" s="23"/>
      <c r="N176" s="23"/>
      <c r="O176" s="23"/>
      <c r="P176" s="23"/>
      <c r="Q176" s="27"/>
    </row>
    <row r="177" spans="1:17" ht="19.2" customHeight="1">
      <c r="A177" s="19" t="s">
        <v>224</v>
      </c>
      <c r="B177" s="10" t="str">
        <f>HYPERLINK("https://drive.google.com/file/d/110m5W6_KyEWbGeauCUMJjw6CbHg_UKxY/view?usp=drivesdk","20260707_145837.jpg")</f>
        <v>20260707_145837.jpg</v>
      </c>
      <c r="C177" s="21" t="s">
        <v>225</v>
      </c>
      <c r="D177" s="21" t="s">
        <v>221</v>
      </c>
      <c r="E177" s="21" t="s">
        <v>20</v>
      </c>
      <c r="F177" s="23">
        <v>1</v>
      </c>
      <c r="G177" s="23"/>
      <c r="H177" s="25"/>
      <c r="I177" s="25"/>
      <c r="J177" s="21" t="s">
        <v>221</v>
      </c>
      <c r="K177" s="23" t="s">
        <v>21</v>
      </c>
      <c r="L177" s="21" t="s">
        <v>22</v>
      </c>
      <c r="M177" s="23"/>
      <c r="N177" s="23"/>
      <c r="O177" s="23"/>
      <c r="P177" s="23"/>
      <c r="Q177" s="27"/>
    </row>
    <row r="178" spans="1:17" ht="19.2" customHeight="1">
      <c r="A178" s="19"/>
      <c r="B178" s="10" t="str">
        <f>HYPERLINK("https://drive.google.com/file/d/1qcM_O8jJi3uqx57cDyuzxPAyknbwIinu/view?usp=drivesdk","20260707_145841.jpg")</f>
        <v>20260707_145841.jpg</v>
      </c>
      <c r="C178" s="21"/>
      <c r="D178" s="21"/>
      <c r="E178" s="21"/>
      <c r="F178" s="23"/>
      <c r="G178" s="23"/>
      <c r="H178" s="25"/>
      <c r="I178" s="25"/>
      <c r="J178" s="21"/>
      <c r="K178" s="23"/>
      <c r="L178" s="21"/>
      <c r="M178" s="23"/>
      <c r="N178" s="23"/>
      <c r="O178" s="23"/>
      <c r="P178" s="23"/>
      <c r="Q178" s="27"/>
    </row>
    <row r="179" spans="1:17" ht="19.2" customHeight="1">
      <c r="A179" s="19"/>
      <c r="B179" s="10" t="str">
        <f>HYPERLINK("https://drive.google.com/file/d/1dDnCfwTTkEqmKSXV9X52HZMrb31h12Nk/view?usp=drivesdk","20260707_161521.jpg")</f>
        <v>20260707_161521.jpg</v>
      </c>
      <c r="C179" s="21"/>
      <c r="D179" s="21"/>
      <c r="E179" s="21"/>
      <c r="F179" s="23"/>
      <c r="G179" s="23"/>
      <c r="H179" s="25"/>
      <c r="I179" s="25"/>
      <c r="J179" s="21"/>
      <c r="K179" s="23"/>
      <c r="L179" s="21"/>
      <c r="M179" s="23"/>
      <c r="N179" s="23"/>
      <c r="O179" s="23"/>
      <c r="P179" s="23"/>
      <c r="Q179" s="27"/>
    </row>
    <row r="180" spans="1:17" ht="19.2" customHeight="1">
      <c r="A180" s="19"/>
      <c r="B180" s="10" t="str">
        <f>HYPERLINK("https://drive.google.com/file/d/1kvu5FulJblAp4YH0xRGb86QnsPsN_gfV/view?usp=drivesdk","20260707_161534.jpg")</f>
        <v>20260707_161534.jpg</v>
      </c>
      <c r="C180" s="21"/>
      <c r="D180" s="21"/>
      <c r="E180" s="21"/>
      <c r="F180" s="23"/>
      <c r="G180" s="23"/>
      <c r="H180" s="25"/>
      <c r="I180" s="25"/>
      <c r="J180" s="21"/>
      <c r="K180" s="23"/>
      <c r="L180" s="21"/>
      <c r="M180" s="23"/>
      <c r="N180" s="23"/>
      <c r="O180" s="23"/>
      <c r="P180" s="23"/>
      <c r="Q180" s="27"/>
    </row>
    <row r="181" spans="1:17" ht="19.2" customHeight="1">
      <c r="A181" s="19" t="s">
        <v>226</v>
      </c>
      <c r="B181" s="10" t="str">
        <f>HYPERLINK("https://drive.google.com/file/d/1mAFdLxsMQ8Th2RbuqabYppv9ZkzzpZlU/view?usp=drivesdk","20260707_145825.jpg")</f>
        <v>20260707_145825.jpg</v>
      </c>
      <c r="C181" s="21" t="s">
        <v>227</v>
      </c>
      <c r="D181" s="21" t="s">
        <v>221</v>
      </c>
      <c r="E181" s="21" t="s">
        <v>20</v>
      </c>
      <c r="F181" s="23">
        <v>1</v>
      </c>
      <c r="G181" s="23"/>
      <c r="H181" s="25"/>
      <c r="I181" s="25"/>
      <c r="J181" s="21" t="s">
        <v>221</v>
      </c>
      <c r="K181" s="23" t="s">
        <v>21</v>
      </c>
      <c r="L181" s="21" t="s">
        <v>22</v>
      </c>
      <c r="M181" s="23"/>
      <c r="N181" s="23"/>
      <c r="O181" s="23"/>
      <c r="P181" s="23"/>
      <c r="Q181" s="27"/>
    </row>
    <row r="182" spans="1:17" ht="19.2" customHeight="1">
      <c r="A182" s="19"/>
      <c r="B182" s="10" t="str">
        <f>HYPERLINK("https://drive.google.com/file/d/1LPqzPlNQrGXQWt8rw-_US3W6WjchtmG2/view?usp=drivesdk","20260707_145831.jpg")</f>
        <v>20260707_145831.jpg</v>
      </c>
      <c r="C182" s="21"/>
      <c r="D182" s="21"/>
      <c r="E182" s="21"/>
      <c r="F182" s="23"/>
      <c r="G182" s="23"/>
      <c r="H182" s="25"/>
      <c r="I182" s="25"/>
      <c r="J182" s="21"/>
      <c r="K182" s="23"/>
      <c r="L182" s="21"/>
      <c r="M182" s="23"/>
      <c r="N182" s="23"/>
      <c r="O182" s="23"/>
      <c r="P182" s="23"/>
      <c r="Q182" s="27"/>
    </row>
    <row r="183" spans="1:17" ht="19.2" customHeight="1">
      <c r="A183" s="19"/>
      <c r="B183" s="10" t="str">
        <f>HYPERLINK("https://drive.google.com/file/d/1nb3KZlZiCdRsUnuji4T__7HWCeglrC9U/view?usp=drivesdk","20260707_161507.jpg")</f>
        <v>20260707_161507.jpg</v>
      </c>
      <c r="C183" s="21"/>
      <c r="D183" s="21"/>
      <c r="E183" s="21"/>
      <c r="F183" s="23"/>
      <c r="G183" s="23"/>
      <c r="H183" s="25"/>
      <c r="I183" s="25"/>
      <c r="J183" s="21"/>
      <c r="K183" s="23"/>
      <c r="L183" s="21"/>
      <c r="M183" s="23"/>
      <c r="N183" s="23"/>
      <c r="O183" s="23"/>
      <c r="P183" s="23"/>
      <c r="Q183" s="27"/>
    </row>
    <row r="184" spans="1:17" ht="19.2" customHeight="1">
      <c r="A184" s="19"/>
      <c r="B184" s="10" t="str">
        <f>HYPERLINK("https://drive.google.com/file/d/1iryGBpbQhe4NAbPMI3i3NWdKIePFI2mG/view?usp=drivesdk","20260707_161515.jpg")</f>
        <v>20260707_161515.jpg</v>
      </c>
      <c r="C184" s="21"/>
      <c r="D184" s="21"/>
      <c r="E184" s="21"/>
      <c r="F184" s="23"/>
      <c r="G184" s="23"/>
      <c r="H184" s="25"/>
      <c r="I184" s="25"/>
      <c r="J184" s="21"/>
      <c r="K184" s="23"/>
      <c r="L184" s="21"/>
      <c r="M184" s="23"/>
      <c r="N184" s="23"/>
      <c r="O184" s="23"/>
      <c r="P184" s="23"/>
      <c r="Q184" s="27"/>
    </row>
    <row r="185" spans="1:17" ht="19.2" customHeight="1">
      <c r="A185" s="9" t="s">
        <v>228</v>
      </c>
      <c r="B185" s="10"/>
      <c r="C185" s="11" t="s">
        <v>229</v>
      </c>
      <c r="D185" s="11" t="s">
        <v>221</v>
      </c>
      <c r="E185" s="11" t="s">
        <v>20</v>
      </c>
      <c r="F185" s="10">
        <v>1</v>
      </c>
      <c r="G185" s="10"/>
      <c r="H185" s="12"/>
      <c r="I185" s="12"/>
      <c r="J185" s="11" t="s">
        <v>221</v>
      </c>
      <c r="K185" s="10" t="s">
        <v>21</v>
      </c>
      <c r="L185" s="11" t="s">
        <v>230</v>
      </c>
      <c r="M185" s="10"/>
      <c r="N185" s="10"/>
      <c r="O185" s="10"/>
      <c r="P185" s="10"/>
      <c r="Q185" s="13"/>
    </row>
    <row r="186" spans="1:17" ht="19.2" customHeight="1">
      <c r="A186" s="19" t="s">
        <v>231</v>
      </c>
      <c r="B186" s="10" t="str">
        <f>HYPERLINK("https://drive.google.com/file/d/1YTQP-b7uewYlZvGH1DTndt_FQJWDn-VA/view?usp=drivesdk","20260707_171118.jpg")</f>
        <v>20260707_171118.jpg</v>
      </c>
      <c r="C186" s="21" t="s">
        <v>232</v>
      </c>
      <c r="D186" s="21" t="s">
        <v>233</v>
      </c>
      <c r="E186" s="21" t="s">
        <v>20</v>
      </c>
      <c r="F186" s="23">
        <v>1</v>
      </c>
      <c r="G186" s="23"/>
      <c r="H186" s="25"/>
      <c r="I186" s="25"/>
      <c r="J186" s="21" t="s">
        <v>233</v>
      </c>
      <c r="K186" s="23" t="s">
        <v>21</v>
      </c>
      <c r="L186" s="21" t="s">
        <v>22</v>
      </c>
      <c r="M186" s="23"/>
      <c r="N186" s="23"/>
      <c r="O186" s="23"/>
      <c r="P186" s="23"/>
      <c r="Q186" s="27"/>
    </row>
    <row r="187" spans="1:17" ht="19.2" customHeight="1">
      <c r="A187" s="19"/>
      <c r="B187" s="10" t="str">
        <f>HYPERLINK("https://drive.google.com/file/d/1kFuJVT1qNWWn94pVzCaaydPHY9yTz0vA/view?usp=drivesdk","20260707_171122.jpg")</f>
        <v>20260707_171122.jpg</v>
      </c>
      <c r="C187" s="21"/>
      <c r="D187" s="21"/>
      <c r="E187" s="21"/>
      <c r="F187" s="23"/>
      <c r="G187" s="23"/>
      <c r="H187" s="25"/>
      <c r="I187" s="25"/>
      <c r="J187" s="21"/>
      <c r="K187" s="23"/>
      <c r="L187" s="21"/>
      <c r="M187" s="23"/>
      <c r="N187" s="23"/>
      <c r="O187" s="23"/>
      <c r="P187" s="23"/>
      <c r="Q187" s="27"/>
    </row>
    <row r="188" spans="1:17" ht="19.2" customHeight="1">
      <c r="A188" s="19" t="s">
        <v>234</v>
      </c>
      <c r="B188" s="10" t="str">
        <f>HYPERLINK("https://drive.google.com/file/d/1St8RsPZSwWqjWcgNoyxrV6CPt12lwFqI/view?usp=drivesdk","20260707_170952.jpg")</f>
        <v>20260707_170952.jpg</v>
      </c>
      <c r="C188" s="21" t="s">
        <v>235</v>
      </c>
      <c r="D188" s="21" t="s">
        <v>233</v>
      </c>
      <c r="E188" s="21" t="s">
        <v>20</v>
      </c>
      <c r="F188" s="23">
        <v>1</v>
      </c>
      <c r="G188" s="23"/>
      <c r="H188" s="25"/>
      <c r="I188" s="25"/>
      <c r="J188" s="21" t="s">
        <v>233</v>
      </c>
      <c r="K188" s="23" t="s">
        <v>21</v>
      </c>
      <c r="L188" s="21" t="s">
        <v>236</v>
      </c>
      <c r="M188" s="23"/>
      <c r="N188" s="23"/>
      <c r="O188" s="23"/>
      <c r="P188" s="23"/>
      <c r="Q188" s="27"/>
    </row>
    <row r="189" spans="1:17" ht="19.2" customHeight="1">
      <c r="A189" s="19"/>
      <c r="B189" s="10" t="str">
        <f>HYPERLINK("https://drive.google.com/file/d/1vR9LkSP8UCknECSl5uQtyukYPRc5taBz/view?usp=drivesdk","20260707_170959.jpg")</f>
        <v>20260707_170959.jpg</v>
      </c>
      <c r="C189" s="21"/>
      <c r="D189" s="21"/>
      <c r="E189" s="21"/>
      <c r="F189" s="23"/>
      <c r="G189" s="23"/>
      <c r="H189" s="25"/>
      <c r="I189" s="25"/>
      <c r="J189" s="21"/>
      <c r="K189" s="23"/>
      <c r="L189" s="21"/>
      <c r="M189" s="23"/>
      <c r="N189" s="23"/>
      <c r="O189" s="23"/>
      <c r="P189" s="23"/>
      <c r="Q189" s="27"/>
    </row>
    <row r="190" spans="1:17" ht="19.2" customHeight="1">
      <c r="A190" s="19" t="s">
        <v>237</v>
      </c>
      <c r="B190" s="10" t="str">
        <f>HYPERLINK("https://drive.google.com/file/d/1J4B3NRP4sS6qDRFSt0azFaQNzfOxzNve/view?usp=drivesdk","20260707_170926.jpg")</f>
        <v>20260707_170926.jpg</v>
      </c>
      <c r="C190" s="21" t="s">
        <v>238</v>
      </c>
      <c r="D190" s="21" t="s">
        <v>233</v>
      </c>
      <c r="E190" s="21" t="s">
        <v>20</v>
      </c>
      <c r="F190" s="23">
        <v>1</v>
      </c>
      <c r="G190" s="23"/>
      <c r="H190" s="25"/>
      <c r="I190" s="25"/>
      <c r="J190" s="21" t="s">
        <v>233</v>
      </c>
      <c r="K190" s="23" t="s">
        <v>21</v>
      </c>
      <c r="L190" s="21" t="s">
        <v>22</v>
      </c>
      <c r="M190" s="23"/>
      <c r="N190" s="23"/>
      <c r="O190" s="23"/>
      <c r="P190" s="23"/>
      <c r="Q190" s="27"/>
    </row>
    <row r="191" spans="1:17" ht="19.2" customHeight="1">
      <c r="A191" s="19"/>
      <c r="B191" s="10" t="str">
        <f>HYPERLINK("https://drive.google.com/file/d/14DoVO7wtzVoXi2YUcoYyYHp_29jysWgS/view?usp=drivesdk","20260707_170928.jpg")</f>
        <v>20260707_170928.jpg</v>
      </c>
      <c r="C191" s="21"/>
      <c r="D191" s="21"/>
      <c r="E191" s="21"/>
      <c r="F191" s="23"/>
      <c r="G191" s="23"/>
      <c r="H191" s="25"/>
      <c r="I191" s="25"/>
      <c r="J191" s="21"/>
      <c r="K191" s="23"/>
      <c r="L191" s="21"/>
      <c r="M191" s="23"/>
      <c r="N191" s="23"/>
      <c r="O191" s="23"/>
      <c r="P191" s="23"/>
      <c r="Q191" s="27"/>
    </row>
    <row r="192" spans="1:17" ht="19.2" customHeight="1">
      <c r="A192" s="9" t="s">
        <v>239</v>
      </c>
      <c r="B192" s="10"/>
      <c r="C192" s="11" t="s">
        <v>240</v>
      </c>
      <c r="D192" s="11" t="s">
        <v>241</v>
      </c>
      <c r="E192" s="11" t="s">
        <v>20</v>
      </c>
      <c r="F192" s="10">
        <v>1</v>
      </c>
      <c r="G192" s="10"/>
      <c r="H192" s="12"/>
      <c r="I192" s="12"/>
      <c r="J192" s="11" t="s">
        <v>241</v>
      </c>
      <c r="K192" s="10" t="s">
        <v>21</v>
      </c>
      <c r="L192" s="11" t="s">
        <v>157</v>
      </c>
      <c r="M192" s="10"/>
      <c r="N192" s="10"/>
      <c r="O192" s="10"/>
      <c r="P192" s="10"/>
      <c r="Q192" s="13"/>
    </row>
    <row r="193" spans="1:17" ht="19.2" customHeight="1">
      <c r="A193" s="19" t="s">
        <v>242</v>
      </c>
      <c r="B193" s="10" t="str">
        <f>HYPERLINK("https://drive.google.com/file/d/156pycGRXdldXOIDvS_P9pKdwFh_yBeB0/view?usp=drivesdk","20260707_113935.jpg")</f>
        <v>20260707_113935.jpg</v>
      </c>
      <c r="C193" s="21" t="s">
        <v>243</v>
      </c>
      <c r="D193" s="21" t="s">
        <v>241</v>
      </c>
      <c r="E193" s="21" t="s">
        <v>20</v>
      </c>
      <c r="F193" s="23">
        <v>1</v>
      </c>
      <c r="G193" s="23"/>
      <c r="H193" s="25"/>
      <c r="I193" s="25"/>
      <c r="J193" s="21" t="s">
        <v>241</v>
      </c>
      <c r="K193" s="23" t="s">
        <v>21</v>
      </c>
      <c r="L193" s="21" t="s">
        <v>22</v>
      </c>
      <c r="M193" s="23"/>
      <c r="N193" s="23"/>
      <c r="O193" s="23"/>
      <c r="P193" s="23"/>
      <c r="Q193" s="27"/>
    </row>
    <row r="194" spans="1:17" ht="19.2" customHeight="1">
      <c r="A194" s="19"/>
      <c r="B194" s="10" t="str">
        <f>HYPERLINK("https://drive.google.com/file/d/1-fGzCR0tvq1GhF1uQMZAtIlpHgpT_f7Q/view?usp=drivesdk","20260707_113942.jpg")</f>
        <v>20260707_113942.jpg</v>
      </c>
      <c r="C194" s="21"/>
      <c r="D194" s="21"/>
      <c r="E194" s="21"/>
      <c r="F194" s="23"/>
      <c r="G194" s="23"/>
      <c r="H194" s="25"/>
      <c r="I194" s="25"/>
      <c r="J194" s="21"/>
      <c r="K194" s="23"/>
      <c r="L194" s="21"/>
      <c r="M194" s="23"/>
      <c r="N194" s="23"/>
      <c r="O194" s="23"/>
      <c r="P194" s="23"/>
      <c r="Q194" s="27"/>
    </row>
    <row r="195" spans="1:17" ht="19.2" customHeight="1">
      <c r="A195" s="9" t="s">
        <v>244</v>
      </c>
      <c r="B195" s="10"/>
      <c r="C195" s="11" t="s">
        <v>245</v>
      </c>
      <c r="D195" s="11" t="s">
        <v>241</v>
      </c>
      <c r="E195" s="11" t="s">
        <v>20</v>
      </c>
      <c r="F195" s="10">
        <v>1</v>
      </c>
      <c r="G195" s="10"/>
      <c r="H195" s="12"/>
      <c r="I195" s="12"/>
      <c r="J195" s="11" t="s">
        <v>241</v>
      </c>
      <c r="K195" s="10" t="s">
        <v>21</v>
      </c>
      <c r="L195" s="11" t="s">
        <v>26</v>
      </c>
      <c r="M195" s="10"/>
      <c r="N195" s="10"/>
      <c r="O195" s="10"/>
      <c r="P195" s="10"/>
      <c r="Q195" s="13"/>
    </row>
    <row r="196" spans="1:17" ht="19.2" customHeight="1">
      <c r="A196" s="9" t="s">
        <v>246</v>
      </c>
      <c r="B196" s="10"/>
      <c r="C196" s="11" t="s">
        <v>247</v>
      </c>
      <c r="D196" s="11" t="s">
        <v>241</v>
      </c>
      <c r="E196" s="11" t="s">
        <v>20</v>
      </c>
      <c r="F196" s="10">
        <v>1</v>
      </c>
      <c r="G196" s="10"/>
      <c r="H196" s="12"/>
      <c r="I196" s="12"/>
      <c r="J196" s="11" t="s">
        <v>241</v>
      </c>
      <c r="K196" s="10" t="s">
        <v>21</v>
      </c>
      <c r="L196" s="11" t="s">
        <v>26</v>
      </c>
      <c r="M196" s="10"/>
      <c r="N196" s="10"/>
      <c r="O196" s="10"/>
      <c r="P196" s="10"/>
      <c r="Q196" s="13"/>
    </row>
    <row r="197" spans="1:17" ht="19.2" customHeight="1">
      <c r="A197" s="19" t="s">
        <v>248</v>
      </c>
      <c r="B197" s="10" t="str">
        <f>HYPERLINK("https://drive.google.com/file/d/1_3KD03GO_vEZQpucHkNvE8yAk11immN1/view?usp=drivesdk","20260707_163733.jpg")</f>
        <v>20260707_163733.jpg</v>
      </c>
      <c r="C197" s="21" t="s">
        <v>249</v>
      </c>
      <c r="D197" s="21" t="s">
        <v>241</v>
      </c>
      <c r="E197" s="21" t="s">
        <v>20</v>
      </c>
      <c r="F197" s="23">
        <v>1</v>
      </c>
      <c r="G197" s="23"/>
      <c r="H197" s="25"/>
      <c r="I197" s="25"/>
      <c r="J197" s="21" t="s">
        <v>241</v>
      </c>
      <c r="K197" s="23" t="s">
        <v>21</v>
      </c>
      <c r="L197" s="21" t="s">
        <v>22</v>
      </c>
      <c r="M197" s="23"/>
      <c r="N197" s="23"/>
      <c r="O197" s="23"/>
      <c r="P197" s="23"/>
      <c r="Q197" s="27"/>
    </row>
    <row r="198" spans="1:17" ht="19.2" customHeight="1">
      <c r="A198" s="19"/>
      <c r="B198" s="10" t="str">
        <f>HYPERLINK("https://drive.google.com/file/d/1Iq9tswJGArmSc8LUmptG51WuMB5GBLBN/view?usp=drivesdk","20260707_163738.jpg")</f>
        <v>20260707_163738.jpg</v>
      </c>
      <c r="C198" s="21"/>
      <c r="D198" s="21"/>
      <c r="E198" s="21"/>
      <c r="F198" s="23"/>
      <c r="G198" s="23"/>
      <c r="H198" s="25"/>
      <c r="I198" s="25"/>
      <c r="J198" s="21"/>
      <c r="K198" s="23"/>
      <c r="L198" s="21"/>
      <c r="M198" s="23"/>
      <c r="N198" s="23"/>
      <c r="O198" s="23"/>
      <c r="P198" s="23"/>
      <c r="Q198" s="27"/>
    </row>
    <row r="199" spans="1:17" ht="19.2" customHeight="1">
      <c r="A199" s="9" t="s">
        <v>250</v>
      </c>
      <c r="B199" s="10"/>
      <c r="C199" s="11" t="s">
        <v>251</v>
      </c>
      <c r="D199" s="11" t="s">
        <v>241</v>
      </c>
      <c r="E199" s="11" t="s">
        <v>20</v>
      </c>
      <c r="F199" s="10">
        <v>1</v>
      </c>
      <c r="G199" s="10"/>
      <c r="H199" s="12"/>
      <c r="I199" s="12"/>
      <c r="J199" s="11" t="s">
        <v>241</v>
      </c>
      <c r="K199" s="10" t="s">
        <v>21</v>
      </c>
      <c r="L199" s="11" t="s">
        <v>26</v>
      </c>
      <c r="M199" s="10"/>
      <c r="N199" s="10"/>
      <c r="O199" s="10"/>
      <c r="P199" s="10"/>
      <c r="Q199" s="13"/>
    </row>
    <row r="200" spans="1:17" ht="19.2" customHeight="1">
      <c r="A200" s="9" t="s">
        <v>252</v>
      </c>
      <c r="B200" s="10"/>
      <c r="C200" s="11" t="s">
        <v>253</v>
      </c>
      <c r="D200" s="11" t="s">
        <v>241</v>
      </c>
      <c r="E200" s="11" t="s">
        <v>20</v>
      </c>
      <c r="F200" s="10">
        <v>1</v>
      </c>
      <c r="G200" s="10"/>
      <c r="H200" s="12"/>
      <c r="I200" s="12"/>
      <c r="J200" s="11" t="s">
        <v>241</v>
      </c>
      <c r="K200" s="10" t="s">
        <v>21</v>
      </c>
      <c r="L200" s="11" t="s">
        <v>26</v>
      </c>
      <c r="M200" s="10"/>
      <c r="N200" s="10"/>
      <c r="O200" s="10"/>
      <c r="P200" s="10"/>
      <c r="Q200" s="13"/>
    </row>
    <row r="201" spans="1:17" ht="19.2" customHeight="1">
      <c r="A201" s="9" t="s">
        <v>254</v>
      </c>
      <c r="B201" s="10"/>
      <c r="C201" s="11" t="s">
        <v>255</v>
      </c>
      <c r="D201" s="11" t="s">
        <v>241</v>
      </c>
      <c r="E201" s="11" t="s">
        <v>20</v>
      </c>
      <c r="F201" s="10">
        <v>1</v>
      </c>
      <c r="G201" s="10"/>
      <c r="H201" s="12"/>
      <c r="I201" s="12"/>
      <c r="J201" s="11" t="s">
        <v>241</v>
      </c>
      <c r="K201" s="10" t="s">
        <v>21</v>
      </c>
      <c r="L201" s="11" t="s">
        <v>157</v>
      </c>
      <c r="M201" s="10"/>
      <c r="N201" s="10"/>
      <c r="O201" s="10"/>
      <c r="P201" s="10"/>
      <c r="Q201" s="13"/>
    </row>
    <row r="202" spans="1:17" ht="19.2" customHeight="1">
      <c r="A202" s="19" t="s">
        <v>256</v>
      </c>
      <c r="B202" s="10" t="str">
        <f>HYPERLINK("https://drive.google.com/file/d/1d8uufCVLdS7M_2ZkqE9GrAit-09pAuZH/view?usp=drivesdk","20260707_121433.jpg")</f>
        <v>20260707_121433.jpg</v>
      </c>
      <c r="C202" s="21" t="s">
        <v>257</v>
      </c>
      <c r="D202" s="21" t="s">
        <v>241</v>
      </c>
      <c r="E202" s="21" t="s">
        <v>20</v>
      </c>
      <c r="F202" s="23">
        <v>1</v>
      </c>
      <c r="G202" s="23"/>
      <c r="H202" s="25"/>
      <c r="I202" s="25"/>
      <c r="J202" s="21" t="s">
        <v>241</v>
      </c>
      <c r="K202" s="23" t="s">
        <v>21</v>
      </c>
      <c r="L202" s="21" t="s">
        <v>22</v>
      </c>
      <c r="M202" s="23"/>
      <c r="N202" s="23"/>
      <c r="O202" s="23"/>
      <c r="P202" s="23"/>
      <c r="Q202" s="27"/>
    </row>
    <row r="203" spans="1:17" ht="19.2" customHeight="1">
      <c r="A203" s="19"/>
      <c r="B203" s="10" t="str">
        <f>HYPERLINK("https://drive.google.com/file/d/1gYbdkCRj2wRfxRTURRu37JGXjDGSjqwX/view?usp=drivesdk","20260707_121441.jpg")</f>
        <v>20260707_121441.jpg</v>
      </c>
      <c r="C203" s="21"/>
      <c r="D203" s="21"/>
      <c r="E203" s="21"/>
      <c r="F203" s="23"/>
      <c r="G203" s="23"/>
      <c r="H203" s="25"/>
      <c r="I203" s="25"/>
      <c r="J203" s="21"/>
      <c r="K203" s="23"/>
      <c r="L203" s="21"/>
      <c r="M203" s="23"/>
      <c r="N203" s="23"/>
      <c r="O203" s="23"/>
      <c r="P203" s="23"/>
      <c r="Q203" s="27"/>
    </row>
    <row r="204" spans="1:17" ht="19.2" customHeight="1">
      <c r="A204" s="19" t="s">
        <v>258</v>
      </c>
      <c r="B204" s="10" t="str">
        <f>HYPERLINK("https://drive.google.com/file/d/16vqoJ_RDesG2BAYiuw_MVopQ8xJPvFBs/view?usp=drivesdk","20260707_111606.jpg")</f>
        <v>20260707_111606.jpg</v>
      </c>
      <c r="C204" s="21" t="s">
        <v>259</v>
      </c>
      <c r="D204" s="21" t="s">
        <v>241</v>
      </c>
      <c r="E204" s="21" t="s">
        <v>20</v>
      </c>
      <c r="F204" s="23">
        <v>1</v>
      </c>
      <c r="G204" s="23"/>
      <c r="H204" s="25"/>
      <c r="I204" s="25"/>
      <c r="J204" s="21" t="s">
        <v>241</v>
      </c>
      <c r="K204" s="23" t="s">
        <v>21</v>
      </c>
      <c r="L204" s="21" t="s">
        <v>22</v>
      </c>
      <c r="M204" s="23"/>
      <c r="N204" s="23"/>
      <c r="O204" s="23"/>
      <c r="P204" s="23"/>
      <c r="Q204" s="27"/>
    </row>
    <row r="205" spans="1:17" ht="19.2" customHeight="1">
      <c r="A205" s="19"/>
      <c r="B205" s="10" t="str">
        <f>HYPERLINK("https://drive.google.com/file/d/1WnCHdv13IEl2vf3fg5dzq0gKOK1VJq4-/view?usp=drivesdk","20260707_111651.jpg")</f>
        <v>20260707_111651.jpg</v>
      </c>
      <c r="C205" s="21"/>
      <c r="D205" s="21"/>
      <c r="E205" s="21"/>
      <c r="F205" s="23"/>
      <c r="G205" s="23"/>
      <c r="H205" s="25"/>
      <c r="I205" s="25"/>
      <c r="J205" s="21"/>
      <c r="K205" s="23"/>
      <c r="L205" s="21"/>
      <c r="M205" s="23"/>
      <c r="N205" s="23"/>
      <c r="O205" s="23"/>
      <c r="P205" s="23"/>
      <c r="Q205" s="27"/>
    </row>
    <row r="206" spans="1:17" ht="19.2" customHeight="1">
      <c r="A206" s="19" t="s">
        <v>260</v>
      </c>
      <c r="B206" s="10" t="str">
        <f>HYPERLINK("https://drive.google.com/file/d/1OYiGY8hzfGon5J5KViWpYo1J8JXA0Fa0/view?usp=drivesdk","20260707_121253.jpg")</f>
        <v>20260707_121253.jpg</v>
      </c>
      <c r="C206" s="21" t="s">
        <v>261</v>
      </c>
      <c r="D206" s="21" t="s">
        <v>241</v>
      </c>
      <c r="E206" s="21" t="s">
        <v>20</v>
      </c>
      <c r="F206" s="23">
        <v>1</v>
      </c>
      <c r="G206" s="23"/>
      <c r="H206" s="25"/>
      <c r="I206" s="25"/>
      <c r="J206" s="21" t="s">
        <v>241</v>
      </c>
      <c r="K206" s="23" t="s">
        <v>21</v>
      </c>
      <c r="L206" s="21" t="s">
        <v>22</v>
      </c>
      <c r="M206" s="23"/>
      <c r="N206" s="23"/>
      <c r="O206" s="23"/>
      <c r="P206" s="23"/>
      <c r="Q206" s="27"/>
    </row>
    <row r="207" spans="1:17" ht="19.2" customHeight="1">
      <c r="A207" s="19"/>
      <c r="B207" s="10" t="str">
        <f>HYPERLINK("https://drive.google.com/file/d/1qMD49XC05Orv0b03cg-zDjJjEcyyaRYW/view?usp=drivesdk","20260707_121310.jpg")</f>
        <v>20260707_121310.jpg</v>
      </c>
      <c r="C207" s="21"/>
      <c r="D207" s="21"/>
      <c r="E207" s="21"/>
      <c r="F207" s="23"/>
      <c r="G207" s="23"/>
      <c r="H207" s="25"/>
      <c r="I207" s="25"/>
      <c r="J207" s="21"/>
      <c r="K207" s="23"/>
      <c r="L207" s="21"/>
      <c r="M207" s="23"/>
      <c r="N207" s="23"/>
      <c r="O207" s="23"/>
      <c r="P207" s="23"/>
      <c r="Q207" s="27"/>
    </row>
    <row r="208" spans="1:17" ht="19.2" customHeight="1">
      <c r="A208" s="9" t="s">
        <v>262</v>
      </c>
      <c r="B208" s="10"/>
      <c r="C208" s="11" t="s">
        <v>263</v>
      </c>
      <c r="D208" s="11" t="s">
        <v>241</v>
      </c>
      <c r="E208" s="11" t="s">
        <v>20</v>
      </c>
      <c r="F208" s="10">
        <v>1</v>
      </c>
      <c r="G208" s="10"/>
      <c r="H208" s="12"/>
      <c r="I208" s="12"/>
      <c r="J208" s="11" t="s">
        <v>241</v>
      </c>
      <c r="K208" s="10" t="s">
        <v>21</v>
      </c>
      <c r="L208" s="11" t="s">
        <v>26</v>
      </c>
      <c r="M208" s="10"/>
      <c r="N208" s="10"/>
      <c r="O208" s="10"/>
      <c r="P208" s="10"/>
      <c r="Q208" s="13"/>
    </row>
    <row r="209" spans="1:17" ht="19.2" customHeight="1">
      <c r="A209" s="19" t="s">
        <v>264</v>
      </c>
      <c r="B209" s="10" t="str">
        <f>HYPERLINK("https://drive.google.com/file/d/1qxRDvRRA5s-atgYBcFw5ALX94WY_cBtJ/view?usp=drivesdk","20260707_163744.jpg")</f>
        <v>20260707_163744.jpg</v>
      </c>
      <c r="C209" s="21" t="s">
        <v>265</v>
      </c>
      <c r="D209" s="21" t="s">
        <v>241</v>
      </c>
      <c r="E209" s="21" t="s">
        <v>20</v>
      </c>
      <c r="F209" s="23">
        <v>1</v>
      </c>
      <c r="G209" s="23"/>
      <c r="H209" s="25"/>
      <c r="I209" s="25"/>
      <c r="J209" s="21" t="s">
        <v>241</v>
      </c>
      <c r="K209" s="23" t="s">
        <v>21</v>
      </c>
      <c r="L209" s="21" t="s">
        <v>266</v>
      </c>
      <c r="M209" s="23"/>
      <c r="N209" s="23"/>
      <c r="O209" s="23"/>
      <c r="P209" s="23"/>
      <c r="Q209" s="27"/>
    </row>
    <row r="210" spans="1:17" ht="19.2" customHeight="1">
      <c r="A210" s="19"/>
      <c r="B210" s="10" t="str">
        <f>HYPERLINK("https://drive.google.com/file/d/1VmIkeT9yr0I91mMbbgRoopI3QczzROKE/view?usp=drivesdk","20260707_163800.jpg")</f>
        <v>20260707_163800.jpg</v>
      </c>
      <c r="C210" s="21"/>
      <c r="D210" s="21"/>
      <c r="E210" s="21"/>
      <c r="F210" s="23"/>
      <c r="G210" s="23"/>
      <c r="H210" s="25"/>
      <c r="I210" s="25"/>
      <c r="J210" s="21"/>
      <c r="K210" s="23"/>
      <c r="L210" s="21"/>
      <c r="M210" s="23"/>
      <c r="N210" s="23"/>
      <c r="O210" s="23"/>
      <c r="P210" s="23"/>
      <c r="Q210" s="27"/>
    </row>
    <row r="211" spans="1:17" ht="19.2" customHeight="1">
      <c r="A211" s="19" t="s">
        <v>267</v>
      </c>
      <c r="B211" s="10" t="str">
        <f>HYPERLINK("https://drive.google.com/file/d/1sSMyhdZILN-9SNvmo7uTcHA42XjysUK1/view?usp=drivesdk","20260707_163804.jpg")</f>
        <v>20260707_163804.jpg</v>
      </c>
      <c r="C211" s="21" t="s">
        <v>268</v>
      </c>
      <c r="D211" s="21" t="s">
        <v>241</v>
      </c>
      <c r="E211" s="21" t="s">
        <v>20</v>
      </c>
      <c r="F211" s="23">
        <v>1</v>
      </c>
      <c r="G211" s="23"/>
      <c r="H211" s="25"/>
      <c r="I211" s="25"/>
      <c r="J211" s="21" t="s">
        <v>241</v>
      </c>
      <c r="K211" s="23" t="s">
        <v>21</v>
      </c>
      <c r="L211" s="21" t="s">
        <v>22</v>
      </c>
      <c r="M211" s="23"/>
      <c r="N211" s="23"/>
      <c r="O211" s="23"/>
      <c r="P211" s="23"/>
      <c r="Q211" s="27"/>
    </row>
    <row r="212" spans="1:17" ht="19.2" customHeight="1">
      <c r="A212" s="19"/>
      <c r="B212" s="10" t="str">
        <f>HYPERLINK("https://drive.google.com/file/d/1lo54M0qd3uqP6OPvOoAdHqwFiERcc89K/view?usp=drivesdk","20260707_163810.jpg")</f>
        <v>20260707_163810.jpg</v>
      </c>
      <c r="C212" s="21"/>
      <c r="D212" s="21"/>
      <c r="E212" s="21"/>
      <c r="F212" s="23"/>
      <c r="G212" s="23"/>
      <c r="H212" s="25"/>
      <c r="I212" s="25"/>
      <c r="J212" s="21"/>
      <c r="K212" s="23"/>
      <c r="L212" s="21"/>
      <c r="M212" s="23"/>
      <c r="N212" s="23"/>
      <c r="O212" s="23"/>
      <c r="P212" s="23"/>
      <c r="Q212" s="27"/>
    </row>
    <row r="213" spans="1:17" ht="19.2" customHeight="1">
      <c r="A213" s="9" t="s">
        <v>269</v>
      </c>
      <c r="B213" s="10"/>
      <c r="C213" s="11" t="s">
        <v>270</v>
      </c>
      <c r="D213" s="11" t="s">
        <v>241</v>
      </c>
      <c r="E213" s="11" t="s">
        <v>20</v>
      </c>
      <c r="F213" s="10">
        <v>1</v>
      </c>
      <c r="G213" s="10"/>
      <c r="H213" s="12"/>
      <c r="I213" s="12"/>
      <c r="J213" s="11" t="s">
        <v>241</v>
      </c>
      <c r="K213" s="10" t="s">
        <v>21</v>
      </c>
      <c r="L213" s="11" t="s">
        <v>26</v>
      </c>
      <c r="M213" s="10"/>
      <c r="N213" s="10"/>
      <c r="O213" s="10"/>
      <c r="P213" s="10"/>
      <c r="Q213" s="13"/>
    </row>
    <row r="214" spans="1:17" ht="19.2" customHeight="1">
      <c r="A214" s="19" t="s">
        <v>271</v>
      </c>
      <c r="B214" s="10" t="str">
        <f>HYPERLINK("https://drive.google.com/file/d/1G6ZhVBcOXwjJVf04Wc1RGcMnA3exHijR/view?usp=drivesdk","20260707_111533.jpg")</f>
        <v>20260707_111533.jpg</v>
      </c>
      <c r="C214" s="21" t="s">
        <v>272</v>
      </c>
      <c r="D214" s="21" t="s">
        <v>241</v>
      </c>
      <c r="E214" s="21" t="s">
        <v>20</v>
      </c>
      <c r="F214" s="23">
        <v>1</v>
      </c>
      <c r="G214" s="23"/>
      <c r="H214" s="25"/>
      <c r="I214" s="25"/>
      <c r="J214" s="21" t="s">
        <v>241</v>
      </c>
      <c r="K214" s="23" t="s">
        <v>21</v>
      </c>
      <c r="L214" s="21" t="s">
        <v>22</v>
      </c>
      <c r="M214" s="23"/>
      <c r="N214" s="23"/>
      <c r="O214" s="23"/>
      <c r="P214" s="23"/>
      <c r="Q214" s="27"/>
    </row>
    <row r="215" spans="1:17" ht="19.2" customHeight="1">
      <c r="A215" s="19"/>
      <c r="B215" s="10" t="str">
        <f>HYPERLINK("https://drive.google.com/file/d/1bfXvRJVX1nGnVyrrgaf6oIKPlcAV00I5/view?usp=drivesdk","20260707_111543.jpg")</f>
        <v>20260707_111543.jpg</v>
      </c>
      <c r="C215" s="21"/>
      <c r="D215" s="21"/>
      <c r="E215" s="21"/>
      <c r="F215" s="23"/>
      <c r="G215" s="23"/>
      <c r="H215" s="25"/>
      <c r="I215" s="25"/>
      <c r="J215" s="21"/>
      <c r="K215" s="23"/>
      <c r="L215" s="21"/>
      <c r="M215" s="23"/>
      <c r="N215" s="23"/>
      <c r="O215" s="23"/>
      <c r="P215" s="23"/>
      <c r="Q215" s="27"/>
    </row>
    <row r="216" spans="1:17" ht="19.2" customHeight="1">
      <c r="A216" s="9" t="s">
        <v>273</v>
      </c>
      <c r="B216" s="10"/>
      <c r="C216" s="11" t="s">
        <v>274</v>
      </c>
      <c r="D216" s="11" t="s">
        <v>241</v>
      </c>
      <c r="E216" s="11" t="s">
        <v>20</v>
      </c>
      <c r="F216" s="10">
        <v>1</v>
      </c>
      <c r="G216" s="10"/>
      <c r="H216" s="12"/>
      <c r="I216" s="12"/>
      <c r="J216" s="11" t="s">
        <v>241</v>
      </c>
      <c r="K216" s="10" t="s">
        <v>21</v>
      </c>
      <c r="L216" s="11" t="s">
        <v>26</v>
      </c>
      <c r="M216" s="10"/>
      <c r="N216" s="10"/>
      <c r="O216" s="10"/>
      <c r="P216" s="10"/>
      <c r="Q216" s="13"/>
    </row>
    <row r="217" spans="1:17" ht="19.2" customHeight="1">
      <c r="A217" s="19" t="s">
        <v>275</v>
      </c>
      <c r="B217" s="10" t="str">
        <f>HYPERLINK("https://drive.google.com/file/d/1F0jaH-wqjqk-qvHejoFKQTmKS42rX1IT/view?usp=drivesdk","20260707_113616.jpg")</f>
        <v>20260707_113616.jpg</v>
      </c>
      <c r="C217" s="21" t="s">
        <v>276</v>
      </c>
      <c r="D217" s="21" t="s">
        <v>241</v>
      </c>
      <c r="E217" s="21" t="s">
        <v>20</v>
      </c>
      <c r="F217" s="23">
        <v>1</v>
      </c>
      <c r="G217" s="23"/>
      <c r="H217" s="25"/>
      <c r="I217" s="25"/>
      <c r="J217" s="21" t="s">
        <v>241</v>
      </c>
      <c r="K217" s="23" t="s">
        <v>21</v>
      </c>
      <c r="L217" s="21" t="s">
        <v>266</v>
      </c>
      <c r="M217" s="23"/>
      <c r="N217" s="23"/>
      <c r="O217" s="23"/>
      <c r="P217" s="23"/>
      <c r="Q217" s="27"/>
    </row>
    <row r="218" spans="1:17" ht="19.2" customHeight="1">
      <c r="A218" s="19"/>
      <c r="B218" s="10" t="str">
        <f>HYPERLINK("https://drive.google.com/file/d/1Z3PO1HwF0oPG8vZNlRVAeEP_PK3zsOP4/view?usp=drivesdk","20260707_113626.jpg")</f>
        <v>20260707_113626.jpg</v>
      </c>
      <c r="C218" s="21"/>
      <c r="D218" s="21"/>
      <c r="E218" s="21"/>
      <c r="F218" s="23"/>
      <c r="G218" s="23"/>
      <c r="H218" s="25"/>
      <c r="I218" s="25"/>
      <c r="J218" s="21"/>
      <c r="K218" s="23"/>
      <c r="L218" s="21"/>
      <c r="M218" s="23"/>
      <c r="N218" s="23"/>
      <c r="O218" s="23"/>
      <c r="P218" s="23"/>
      <c r="Q218" s="27"/>
    </row>
    <row r="219" spans="1:17" ht="19.2" customHeight="1">
      <c r="A219" s="19"/>
      <c r="B219" s="10" t="str">
        <f>HYPERLINK("https://drive.google.com/file/d/19bRi8RCxq9ypbhsudZyPQ_tmu0xxVVa4/view?usp=drivesdk","20260707_121817.jpg")</f>
        <v>20260707_121817.jpg</v>
      </c>
      <c r="C219" s="21"/>
      <c r="D219" s="21"/>
      <c r="E219" s="21"/>
      <c r="F219" s="23"/>
      <c r="G219" s="23"/>
      <c r="H219" s="25"/>
      <c r="I219" s="25"/>
      <c r="J219" s="21"/>
      <c r="K219" s="23"/>
      <c r="L219" s="21"/>
      <c r="M219" s="23"/>
      <c r="N219" s="23"/>
      <c r="O219" s="23"/>
      <c r="P219" s="23"/>
      <c r="Q219" s="27"/>
    </row>
    <row r="220" spans="1:17" ht="19.2" customHeight="1">
      <c r="A220" s="19" t="s">
        <v>277</v>
      </c>
      <c r="B220" s="10" t="str">
        <f>HYPERLINK("https://drive.google.com/file/d/1rzm4lMWyseJL_XaPyekfz8pWjhHdzmK1/view?usp=drivesdk","20260707_163955.jpg")</f>
        <v>20260707_163955.jpg</v>
      </c>
      <c r="C220" s="21" t="s">
        <v>278</v>
      </c>
      <c r="D220" s="21" t="s">
        <v>241</v>
      </c>
      <c r="E220" s="21" t="s">
        <v>20</v>
      </c>
      <c r="F220" s="23">
        <v>1</v>
      </c>
      <c r="G220" s="23"/>
      <c r="H220" s="25"/>
      <c r="I220" s="25"/>
      <c r="J220" s="21" t="s">
        <v>241</v>
      </c>
      <c r="K220" s="23" t="s">
        <v>21</v>
      </c>
      <c r="L220" s="21" t="s">
        <v>22</v>
      </c>
      <c r="M220" s="23"/>
      <c r="N220" s="23"/>
      <c r="O220" s="23"/>
      <c r="P220" s="23"/>
      <c r="Q220" s="27"/>
    </row>
    <row r="221" spans="1:17" ht="19.2" customHeight="1">
      <c r="A221" s="19"/>
      <c r="B221" s="10" t="str">
        <f>HYPERLINK("https://drive.google.com/file/d/1y1f8POrQjPtlgUz7iNTDn1KvMOZO_ie9/view?usp=drivesdk","20260707_164001.jpg")</f>
        <v>20260707_164001.jpg</v>
      </c>
      <c r="C221" s="21"/>
      <c r="D221" s="21"/>
      <c r="E221" s="21"/>
      <c r="F221" s="23"/>
      <c r="G221" s="23"/>
      <c r="H221" s="25"/>
      <c r="I221" s="25"/>
      <c r="J221" s="21"/>
      <c r="K221" s="23"/>
      <c r="L221" s="21"/>
      <c r="M221" s="23"/>
      <c r="N221" s="23"/>
      <c r="O221" s="23"/>
      <c r="P221" s="23"/>
      <c r="Q221" s="27"/>
    </row>
    <row r="222" spans="1:17" ht="19.2" customHeight="1">
      <c r="A222" s="19" t="s">
        <v>279</v>
      </c>
      <c r="B222" s="10" t="str">
        <f>HYPERLINK("https://drive.google.com/file/d/1MbWSpQaUWRNprew_unNq67gpJGu3olBa/view?usp=drivesdk","20260707_163947.jpg")</f>
        <v>20260707_163947.jpg</v>
      </c>
      <c r="C222" s="21" t="s">
        <v>280</v>
      </c>
      <c r="D222" s="21" t="s">
        <v>241</v>
      </c>
      <c r="E222" s="21" t="s">
        <v>20</v>
      </c>
      <c r="F222" s="23">
        <v>1</v>
      </c>
      <c r="G222" s="23"/>
      <c r="H222" s="25"/>
      <c r="I222" s="25"/>
      <c r="J222" s="21" t="s">
        <v>241</v>
      </c>
      <c r="K222" s="23" t="s">
        <v>21</v>
      </c>
      <c r="L222" s="21" t="s">
        <v>22</v>
      </c>
      <c r="M222" s="23"/>
      <c r="N222" s="23"/>
      <c r="O222" s="23"/>
      <c r="P222" s="23"/>
      <c r="Q222" s="27"/>
    </row>
    <row r="223" spans="1:17" ht="19.2" customHeight="1">
      <c r="A223" s="19"/>
      <c r="B223" s="10" t="str">
        <f>HYPERLINK("https://drive.google.com/file/d/1J-gxjAGJG-_i7vopfeeW0o2OOVy9WKfd/view?usp=drivesdk","20260707_163950.jpg")</f>
        <v>20260707_163950.jpg</v>
      </c>
      <c r="C223" s="21"/>
      <c r="D223" s="21"/>
      <c r="E223" s="21"/>
      <c r="F223" s="23"/>
      <c r="G223" s="23"/>
      <c r="H223" s="25"/>
      <c r="I223" s="25"/>
      <c r="J223" s="21"/>
      <c r="K223" s="23"/>
      <c r="L223" s="21"/>
      <c r="M223" s="23"/>
      <c r="N223" s="23"/>
      <c r="O223" s="23"/>
      <c r="P223" s="23"/>
      <c r="Q223" s="27"/>
    </row>
    <row r="224" spans="1:17" ht="19.2" customHeight="1">
      <c r="A224" s="19" t="s">
        <v>281</v>
      </c>
      <c r="B224" s="10" t="str">
        <f>HYPERLINK("https://drive.google.com/file/d/1BWR9cgJQbmuUEbulFF5NmA3xkuMVOxFP/view?usp=drivesdk","20260707_163704.jpg")</f>
        <v>20260707_163704.jpg</v>
      </c>
      <c r="C224" s="21" t="s">
        <v>282</v>
      </c>
      <c r="D224" s="21" t="s">
        <v>241</v>
      </c>
      <c r="E224" s="21" t="s">
        <v>20</v>
      </c>
      <c r="F224" s="23">
        <v>1</v>
      </c>
      <c r="G224" s="23"/>
      <c r="H224" s="25"/>
      <c r="I224" s="25"/>
      <c r="J224" s="21" t="s">
        <v>241</v>
      </c>
      <c r="K224" s="23" t="s">
        <v>21</v>
      </c>
      <c r="L224" s="21" t="s">
        <v>22</v>
      </c>
      <c r="M224" s="23"/>
      <c r="N224" s="23"/>
      <c r="O224" s="23"/>
      <c r="P224" s="23"/>
      <c r="Q224" s="27"/>
    </row>
    <row r="225" spans="1:17" ht="19.2" customHeight="1">
      <c r="A225" s="19"/>
      <c r="B225" s="10" t="str">
        <f>HYPERLINK("https://drive.google.com/file/d/1h-dmyog4_a6GHytAOwow2En0LhmCZlcx/view?usp=drivesdk","20260707_163709.jpg")</f>
        <v>20260707_163709.jpg</v>
      </c>
      <c r="C225" s="21"/>
      <c r="D225" s="21"/>
      <c r="E225" s="21"/>
      <c r="F225" s="23"/>
      <c r="G225" s="23"/>
      <c r="H225" s="25"/>
      <c r="I225" s="25"/>
      <c r="J225" s="21"/>
      <c r="K225" s="23"/>
      <c r="L225" s="21"/>
      <c r="M225" s="23"/>
      <c r="N225" s="23"/>
      <c r="O225" s="23"/>
      <c r="P225" s="23"/>
      <c r="Q225" s="27"/>
    </row>
    <row r="226" spans="1:17" ht="19.2" customHeight="1">
      <c r="A226" s="19" t="s">
        <v>283</v>
      </c>
      <c r="B226" s="10" t="str">
        <f>HYPERLINK("https://drive.google.com/file/d/1xbwcxWRhvgh6A3hjiybpYQkwQ1-n2fTY/view?usp=drivesdk","20260707_164011.jpg")</f>
        <v>20260707_164011.jpg</v>
      </c>
      <c r="C226" s="21" t="s">
        <v>284</v>
      </c>
      <c r="D226" s="21" t="s">
        <v>241</v>
      </c>
      <c r="E226" s="21" t="s">
        <v>20</v>
      </c>
      <c r="F226" s="23">
        <v>1</v>
      </c>
      <c r="G226" s="23"/>
      <c r="H226" s="25"/>
      <c r="I226" s="25"/>
      <c r="J226" s="21" t="s">
        <v>241</v>
      </c>
      <c r="K226" s="23" t="s">
        <v>21</v>
      </c>
      <c r="L226" s="21" t="s">
        <v>22</v>
      </c>
      <c r="M226" s="23"/>
      <c r="N226" s="23"/>
      <c r="O226" s="23"/>
      <c r="P226" s="23"/>
      <c r="Q226" s="27"/>
    </row>
    <row r="227" spans="1:17" ht="19.2" customHeight="1">
      <c r="A227" s="19"/>
      <c r="B227" s="10" t="str">
        <f>HYPERLINK("https://drive.google.com/file/d/1xycV1UCwtHQN26K-P9DffaIxd2R4jAMc/view?usp=drivesdk","20260707_164016.jpg")</f>
        <v>20260707_164016.jpg</v>
      </c>
      <c r="C227" s="21"/>
      <c r="D227" s="21"/>
      <c r="E227" s="21"/>
      <c r="F227" s="23"/>
      <c r="G227" s="23"/>
      <c r="H227" s="25"/>
      <c r="I227" s="25"/>
      <c r="J227" s="21"/>
      <c r="K227" s="23"/>
      <c r="L227" s="21"/>
      <c r="M227" s="23"/>
      <c r="N227" s="23"/>
      <c r="O227" s="23"/>
      <c r="P227" s="23"/>
      <c r="Q227" s="27"/>
    </row>
    <row r="228" spans="1:17" ht="19.2" customHeight="1">
      <c r="A228" s="9" t="s">
        <v>285</v>
      </c>
      <c r="B228" s="10"/>
      <c r="C228" s="11" t="s">
        <v>286</v>
      </c>
      <c r="D228" s="11" t="s">
        <v>241</v>
      </c>
      <c r="E228" s="11" t="s">
        <v>20</v>
      </c>
      <c r="F228" s="10">
        <v>1</v>
      </c>
      <c r="G228" s="10"/>
      <c r="H228" s="12"/>
      <c r="I228" s="12"/>
      <c r="J228" s="11" t="s">
        <v>241</v>
      </c>
      <c r="K228" s="10" t="s">
        <v>21</v>
      </c>
      <c r="L228" s="11" t="s">
        <v>26</v>
      </c>
      <c r="M228" s="10"/>
      <c r="N228" s="10"/>
      <c r="O228" s="10"/>
      <c r="P228" s="10"/>
      <c r="Q228" s="13"/>
    </row>
    <row r="229" spans="1:17" ht="19.2" customHeight="1">
      <c r="A229" s="19" t="s">
        <v>287</v>
      </c>
      <c r="B229" s="10" t="str">
        <f>HYPERLINK("https://drive.google.com/file/d/1bMeg06Q7jytBRBdafwQ06y55XCBmKCEN/view?usp=drivesdk","20260707_163713.jpg")</f>
        <v>20260707_163713.jpg</v>
      </c>
      <c r="C229" s="21" t="s">
        <v>288</v>
      </c>
      <c r="D229" s="21" t="s">
        <v>289</v>
      </c>
      <c r="E229" s="21" t="s">
        <v>20</v>
      </c>
      <c r="F229" s="23">
        <v>1</v>
      </c>
      <c r="G229" s="23"/>
      <c r="H229" s="25"/>
      <c r="I229" s="25"/>
      <c r="J229" s="21" t="s">
        <v>289</v>
      </c>
      <c r="K229" s="23" t="s">
        <v>21</v>
      </c>
      <c r="L229" s="21" t="s">
        <v>22</v>
      </c>
      <c r="M229" s="23"/>
      <c r="N229" s="23"/>
      <c r="O229" s="23"/>
      <c r="P229" s="23"/>
      <c r="Q229" s="27"/>
    </row>
    <row r="230" spans="1:17" ht="19.2" customHeight="1">
      <c r="A230" s="19"/>
      <c r="B230" s="10" t="str">
        <f>HYPERLINK("https://drive.google.com/file/d/10-cH4WVf38NCMNPm1vrVONtn_Q1e8f0u/view?usp=drivesdk","20260707_163720.jpg")</f>
        <v>20260707_163720.jpg</v>
      </c>
      <c r="C230" s="21"/>
      <c r="D230" s="21"/>
      <c r="E230" s="21"/>
      <c r="F230" s="23"/>
      <c r="G230" s="23"/>
      <c r="H230" s="25"/>
      <c r="I230" s="25"/>
      <c r="J230" s="21"/>
      <c r="K230" s="23"/>
      <c r="L230" s="21"/>
      <c r="M230" s="23"/>
      <c r="N230" s="23"/>
      <c r="O230" s="23"/>
      <c r="P230" s="23"/>
      <c r="Q230" s="27"/>
    </row>
    <row r="231" spans="1:17" ht="19.2" customHeight="1">
      <c r="A231" s="19" t="s">
        <v>290</v>
      </c>
      <c r="B231" s="10" t="str">
        <f>HYPERLINK("https://drive.google.com/file/d/1YQNM3gYZd70aPgnbx1lLjqzo0l3G8LGi/view?usp=drivesdk","20260707_150032.jpg")</f>
        <v>20260707_150032.jpg</v>
      </c>
      <c r="C231" s="21" t="s">
        <v>291</v>
      </c>
      <c r="D231" s="21" t="s">
        <v>292</v>
      </c>
      <c r="E231" s="21" t="s">
        <v>20</v>
      </c>
      <c r="F231" s="23">
        <v>1</v>
      </c>
      <c r="G231" s="23"/>
      <c r="H231" s="25"/>
      <c r="I231" s="25"/>
      <c r="J231" s="21" t="s">
        <v>292</v>
      </c>
      <c r="K231" s="23" t="s">
        <v>21</v>
      </c>
      <c r="L231" s="21" t="s">
        <v>22</v>
      </c>
      <c r="M231" s="23"/>
      <c r="N231" s="23"/>
      <c r="O231" s="23"/>
      <c r="P231" s="23"/>
      <c r="Q231" s="27"/>
    </row>
    <row r="232" spans="1:17" ht="19.2" customHeight="1">
      <c r="A232" s="19"/>
      <c r="B232" s="10" t="str">
        <f>HYPERLINK("https://drive.google.com/file/d/1_E5et8RAM9SC_3cOjlnwZE8P3BROM0Mn/view?usp=drivesdk","20260707_171853.jpg")</f>
        <v>20260707_171853.jpg</v>
      </c>
      <c r="C232" s="21"/>
      <c r="D232" s="21"/>
      <c r="E232" s="21"/>
      <c r="F232" s="23"/>
      <c r="G232" s="23"/>
      <c r="H232" s="25"/>
      <c r="I232" s="25"/>
      <c r="J232" s="21"/>
      <c r="K232" s="23"/>
      <c r="L232" s="21"/>
      <c r="M232" s="23"/>
      <c r="N232" s="23"/>
      <c r="O232" s="23"/>
      <c r="P232" s="23"/>
      <c r="Q232" s="27"/>
    </row>
    <row r="233" spans="1:17" ht="19.2" customHeight="1">
      <c r="A233" s="19"/>
      <c r="B233" s="10" t="str">
        <f>HYPERLINK("https://drive.google.com/file/d/1GSZ0gKhYphQCQ1XIKkoe9EeJDwfjuCfC/view?usp=drivesdk","20260707_171902.jpg")</f>
        <v>20260707_171902.jpg</v>
      </c>
      <c r="C233" s="21"/>
      <c r="D233" s="21"/>
      <c r="E233" s="21"/>
      <c r="F233" s="23"/>
      <c r="G233" s="23"/>
      <c r="H233" s="25"/>
      <c r="I233" s="25"/>
      <c r="J233" s="21"/>
      <c r="K233" s="23"/>
      <c r="L233" s="21"/>
      <c r="M233" s="23"/>
      <c r="N233" s="23"/>
      <c r="O233" s="23"/>
      <c r="P233" s="23"/>
      <c r="Q233" s="27"/>
    </row>
    <row r="234" spans="1:17" ht="19.2" customHeight="1">
      <c r="A234" s="9" t="s">
        <v>293</v>
      </c>
      <c r="B234" s="10"/>
      <c r="C234" s="11" t="s">
        <v>294</v>
      </c>
      <c r="D234" s="11" t="s">
        <v>294</v>
      </c>
      <c r="E234" s="11" t="s">
        <v>20</v>
      </c>
      <c r="F234" s="10">
        <v>1</v>
      </c>
      <c r="G234" s="10"/>
      <c r="H234" s="12"/>
      <c r="I234" s="12"/>
      <c r="J234" s="11" t="s">
        <v>294</v>
      </c>
      <c r="K234" s="10" t="s">
        <v>21</v>
      </c>
      <c r="L234" s="11" t="s">
        <v>26</v>
      </c>
      <c r="M234" s="10"/>
      <c r="N234" s="10"/>
      <c r="O234" s="10"/>
      <c r="P234" s="10"/>
      <c r="Q234" s="13"/>
    </row>
    <row r="235" spans="1:17" ht="19.2" customHeight="1">
      <c r="A235" s="19" t="s">
        <v>295</v>
      </c>
      <c r="B235" s="10" t="str">
        <f>HYPERLINK("https://drive.google.com/file/d/12LxzXDmBEvRYCLvF9s50lRMiY0q3cHPt/view?usp=drivesdk","20260707_171715.jpg")</f>
        <v>20260707_171715.jpg</v>
      </c>
      <c r="C235" s="21" t="s">
        <v>296</v>
      </c>
      <c r="D235" s="21" t="s">
        <v>297</v>
      </c>
      <c r="E235" s="21" t="s">
        <v>20</v>
      </c>
      <c r="F235" s="23">
        <v>1</v>
      </c>
      <c r="G235" s="23"/>
      <c r="H235" s="25"/>
      <c r="I235" s="25"/>
      <c r="J235" s="21" t="s">
        <v>297</v>
      </c>
      <c r="K235" s="23" t="s">
        <v>21</v>
      </c>
      <c r="L235" s="21" t="s">
        <v>298</v>
      </c>
      <c r="M235" s="23"/>
      <c r="N235" s="23"/>
      <c r="O235" s="23"/>
      <c r="P235" s="23"/>
      <c r="Q235" s="27"/>
    </row>
    <row r="236" spans="1:17" ht="19.2" customHeight="1">
      <c r="A236" s="19"/>
      <c r="B236" s="10" t="str">
        <f>HYPERLINK("https://drive.google.com/file/d/1WrmgxNiPWf7s7QP5ciAG9uZ-kghDmuvU/view?usp=drivesdk","20260707_171726.jpg")</f>
        <v>20260707_171726.jpg</v>
      </c>
      <c r="C236" s="21"/>
      <c r="D236" s="21"/>
      <c r="E236" s="21"/>
      <c r="F236" s="23"/>
      <c r="G236" s="23"/>
      <c r="H236" s="25"/>
      <c r="I236" s="25"/>
      <c r="J236" s="21"/>
      <c r="K236" s="23"/>
      <c r="L236" s="21"/>
      <c r="M236" s="23"/>
      <c r="N236" s="23"/>
      <c r="O236" s="23"/>
      <c r="P236" s="23"/>
      <c r="Q236" s="27"/>
    </row>
    <row r="237" spans="1:17" ht="19.2" customHeight="1">
      <c r="A237" s="19"/>
      <c r="B237" s="10" t="str">
        <f>HYPERLINK("https://drive.google.com/file/d/1TS2Z4XSc-TwsI4aYbH5IvDnnmwhFrNSk/view?usp=drivesdk","20260707_185639.jpg")</f>
        <v>20260707_185639.jpg</v>
      </c>
      <c r="C237" s="21"/>
      <c r="D237" s="21"/>
      <c r="E237" s="21"/>
      <c r="F237" s="23"/>
      <c r="G237" s="23"/>
      <c r="H237" s="25"/>
      <c r="I237" s="25"/>
      <c r="J237" s="21"/>
      <c r="K237" s="23"/>
      <c r="L237" s="21"/>
      <c r="M237" s="23"/>
      <c r="N237" s="23"/>
      <c r="O237" s="23"/>
      <c r="P237" s="23"/>
      <c r="Q237" s="27"/>
    </row>
    <row r="238" spans="1:17" ht="19.2" customHeight="1">
      <c r="A238" s="9" t="s">
        <v>299</v>
      </c>
      <c r="B238" s="10"/>
      <c r="C238" s="11" t="s">
        <v>300</v>
      </c>
      <c r="D238" s="11" t="s">
        <v>301</v>
      </c>
      <c r="E238" s="11" t="s">
        <v>20</v>
      </c>
      <c r="F238" s="10">
        <v>1</v>
      </c>
      <c r="G238" s="10"/>
      <c r="H238" s="12"/>
      <c r="I238" s="12"/>
      <c r="J238" s="11" t="s">
        <v>301</v>
      </c>
      <c r="K238" s="10" t="s">
        <v>21</v>
      </c>
      <c r="L238" s="11" t="s">
        <v>26</v>
      </c>
      <c r="M238" s="10"/>
      <c r="N238" s="10"/>
      <c r="O238" s="10"/>
      <c r="P238" s="10"/>
      <c r="Q238" s="13"/>
    </row>
    <row r="239" spans="1:17" ht="19.2" customHeight="1">
      <c r="A239" s="19" t="s">
        <v>302</v>
      </c>
      <c r="B239" s="10" t="str">
        <f>HYPERLINK("https://drive.google.com/file/d/19YPzvPSpl_rHe11q9cpVWajLHuiRrgme/view?usp=drivesdk","20260707_145936.jpg")</f>
        <v>20260707_145936.jpg</v>
      </c>
      <c r="C239" s="21" t="s">
        <v>303</v>
      </c>
      <c r="D239" s="21" t="s">
        <v>301</v>
      </c>
      <c r="E239" s="21" t="s">
        <v>20</v>
      </c>
      <c r="F239" s="23">
        <v>1</v>
      </c>
      <c r="G239" s="23"/>
      <c r="H239" s="25"/>
      <c r="I239" s="25"/>
      <c r="J239" s="21" t="s">
        <v>301</v>
      </c>
      <c r="K239" s="23" t="s">
        <v>21</v>
      </c>
      <c r="L239" s="21" t="s">
        <v>22</v>
      </c>
      <c r="M239" s="23"/>
      <c r="N239" s="23"/>
      <c r="O239" s="23"/>
      <c r="P239" s="23"/>
      <c r="Q239" s="27"/>
    </row>
    <row r="240" spans="1:17" ht="19.2" customHeight="1">
      <c r="A240" s="19"/>
      <c r="B240" s="10" t="str">
        <f>HYPERLINK("https://drive.google.com/file/d/1g6lT16ROMPheuX18x0KW1508MG_0fGKu/view?usp=drivesdk","20260707_145942.jpg")</f>
        <v>20260707_145942.jpg</v>
      </c>
      <c r="C240" s="21"/>
      <c r="D240" s="21"/>
      <c r="E240" s="21"/>
      <c r="F240" s="23"/>
      <c r="G240" s="23"/>
      <c r="H240" s="25"/>
      <c r="I240" s="25"/>
      <c r="J240" s="21"/>
      <c r="K240" s="23"/>
      <c r="L240" s="21"/>
      <c r="M240" s="23"/>
      <c r="N240" s="23"/>
      <c r="O240" s="23"/>
      <c r="P240" s="23"/>
      <c r="Q240" s="27"/>
    </row>
    <row r="241" spans="1:17" ht="19.2" customHeight="1">
      <c r="A241" s="19" t="s">
        <v>304</v>
      </c>
      <c r="B241" s="10" t="str">
        <f>HYPERLINK("https://drive.google.com/file/d/14ioF-5OvN-_4RJu0aWmIneL0YruOLGy-/view?usp=drivesdk","20260707_165853.jpg")</f>
        <v>20260707_165853.jpg</v>
      </c>
      <c r="C241" s="21" t="s">
        <v>305</v>
      </c>
      <c r="D241" s="21" t="s">
        <v>301</v>
      </c>
      <c r="E241" s="21" t="s">
        <v>20</v>
      </c>
      <c r="F241" s="23">
        <v>1</v>
      </c>
      <c r="G241" s="23"/>
      <c r="H241" s="25"/>
      <c r="I241" s="25"/>
      <c r="J241" s="21" t="s">
        <v>301</v>
      </c>
      <c r="K241" s="23" t="s">
        <v>21</v>
      </c>
      <c r="L241" s="21" t="s">
        <v>22</v>
      </c>
      <c r="M241" s="23"/>
      <c r="N241" s="23"/>
      <c r="O241" s="23"/>
      <c r="P241" s="23"/>
      <c r="Q241" s="27"/>
    </row>
    <row r="242" spans="1:17" ht="19.2" customHeight="1">
      <c r="A242" s="19"/>
      <c r="B242" s="10" t="str">
        <f>HYPERLINK("https://drive.google.com/file/d/1VX1AeJUGu-gcuxajED7KFl6HZPERYJbq/view?usp=drivesdk","20260707_165855.jpg")</f>
        <v>20260707_165855.jpg</v>
      </c>
      <c r="C242" s="21"/>
      <c r="D242" s="21"/>
      <c r="E242" s="21"/>
      <c r="F242" s="23"/>
      <c r="G242" s="23"/>
      <c r="H242" s="25"/>
      <c r="I242" s="25"/>
      <c r="J242" s="21"/>
      <c r="K242" s="23"/>
      <c r="L242" s="21"/>
      <c r="M242" s="23"/>
      <c r="N242" s="23"/>
      <c r="O242" s="23"/>
      <c r="P242" s="23"/>
      <c r="Q242" s="27"/>
    </row>
    <row r="243" spans="1:17" ht="19.2" customHeight="1">
      <c r="A243" s="19" t="s">
        <v>306</v>
      </c>
      <c r="B243" s="10" t="str">
        <f>HYPERLINK("https://drive.google.com/file/d/1K5lIUT0oChXeP8VMWRsx-bcwsv0--6Lq/view?usp=drivesdk","20260707_171642.jpg")</f>
        <v>20260707_171642.jpg</v>
      </c>
      <c r="C243" s="21" t="s">
        <v>307</v>
      </c>
      <c r="D243" s="21" t="s">
        <v>301</v>
      </c>
      <c r="E243" s="21" t="s">
        <v>20</v>
      </c>
      <c r="F243" s="23">
        <v>1</v>
      </c>
      <c r="G243" s="23"/>
      <c r="H243" s="25"/>
      <c r="I243" s="25"/>
      <c r="J243" s="21" t="s">
        <v>301</v>
      </c>
      <c r="K243" s="23" t="s">
        <v>21</v>
      </c>
      <c r="L243" s="21" t="s">
        <v>22</v>
      </c>
      <c r="M243" s="23"/>
      <c r="N243" s="23"/>
      <c r="O243" s="23"/>
      <c r="P243" s="23"/>
      <c r="Q243" s="27"/>
    </row>
    <row r="244" spans="1:17" ht="19.2" customHeight="1">
      <c r="A244" s="19"/>
      <c r="B244" s="10" t="str">
        <f>HYPERLINK("https://drive.google.com/file/d/1feHQIIXht94WrUBTXASeyOSgDi3KPT3T/view?usp=drivesdk","20260707_171648.jpg")</f>
        <v>20260707_171648.jpg</v>
      </c>
      <c r="C244" s="21"/>
      <c r="D244" s="21"/>
      <c r="E244" s="21"/>
      <c r="F244" s="23"/>
      <c r="G244" s="23"/>
      <c r="H244" s="25"/>
      <c r="I244" s="25"/>
      <c r="J244" s="21"/>
      <c r="K244" s="23"/>
      <c r="L244" s="21"/>
      <c r="M244" s="23"/>
      <c r="N244" s="23"/>
      <c r="O244" s="23"/>
      <c r="P244" s="23"/>
      <c r="Q244" s="27"/>
    </row>
    <row r="245" spans="1:17" ht="19.2" customHeight="1">
      <c r="A245" s="19" t="s">
        <v>308</v>
      </c>
      <c r="B245" s="10" t="str">
        <f>HYPERLINK("https://drive.google.com/file/d/1auASrgNhyeb6HpJbgbc-EdBbQGEkH5Ht/view?usp=drivesdk","20260707_171141.jpg")</f>
        <v>20260707_171141.jpg</v>
      </c>
      <c r="C245" s="21" t="s">
        <v>309</v>
      </c>
      <c r="D245" s="21" t="s">
        <v>233</v>
      </c>
      <c r="E245" s="21" t="s">
        <v>20</v>
      </c>
      <c r="F245" s="23">
        <v>1</v>
      </c>
      <c r="G245" s="23"/>
      <c r="H245" s="25">
        <v>0</v>
      </c>
      <c r="I245" s="25"/>
      <c r="J245" s="21" t="s">
        <v>233</v>
      </c>
      <c r="K245" s="23" t="s">
        <v>21</v>
      </c>
      <c r="L245" s="21" t="s">
        <v>22</v>
      </c>
      <c r="M245" s="23"/>
      <c r="N245" s="23"/>
      <c r="O245" s="23"/>
      <c r="P245" s="23"/>
      <c r="Q245" s="27"/>
    </row>
    <row r="246" spans="1:17" ht="19.2" customHeight="1">
      <c r="A246" s="19"/>
      <c r="B246" s="10" t="str">
        <f>HYPERLINK("https://drive.google.com/file/d/1y9IC4cBlfsTt45g7HxkmkuYbkaiCsqWS/view?usp=drivesdk","20260707_171145.jpg")</f>
        <v>20260707_171145.jpg</v>
      </c>
      <c r="C246" s="21"/>
      <c r="D246" s="21"/>
      <c r="E246" s="21"/>
      <c r="F246" s="23"/>
      <c r="G246" s="23"/>
      <c r="H246" s="25"/>
      <c r="I246" s="25"/>
      <c r="J246" s="21"/>
      <c r="K246" s="23"/>
      <c r="L246" s="21"/>
      <c r="M246" s="23"/>
      <c r="N246" s="23"/>
      <c r="O246" s="23"/>
      <c r="P246" s="23"/>
      <c r="Q246" s="27"/>
    </row>
    <row r="247" spans="1:17" ht="19.2" customHeight="1">
      <c r="A247" s="9" t="s">
        <v>310</v>
      </c>
      <c r="B247" s="10"/>
      <c r="C247" s="11" t="s">
        <v>311</v>
      </c>
      <c r="D247" s="11" t="s">
        <v>312</v>
      </c>
      <c r="E247" s="11" t="s">
        <v>20</v>
      </c>
      <c r="F247" s="10">
        <v>1</v>
      </c>
      <c r="G247" s="10"/>
      <c r="H247" s="12"/>
      <c r="I247" s="12"/>
      <c r="J247" s="11" t="s">
        <v>312</v>
      </c>
      <c r="K247" s="10" t="s">
        <v>21</v>
      </c>
      <c r="L247" s="11" t="s">
        <v>157</v>
      </c>
      <c r="M247" s="10"/>
      <c r="N247" s="10"/>
      <c r="O247" s="10"/>
      <c r="P247" s="10"/>
      <c r="Q247" s="13"/>
    </row>
    <row r="248" spans="1:17" ht="19.2" customHeight="1">
      <c r="A248" s="19" t="s">
        <v>313</v>
      </c>
      <c r="B248" s="10" t="str">
        <f>HYPERLINK("https://drive.google.com/file/d/1OEOkhVqUCdXhM5I0US7LJ7DnAEVrKgPK/view?usp=drivesdk","20260707_171512.jpg")</f>
        <v>20260707_171512.jpg</v>
      </c>
      <c r="C248" s="21" t="s">
        <v>314</v>
      </c>
      <c r="D248" s="21" t="s">
        <v>312</v>
      </c>
      <c r="E248" s="21" t="s">
        <v>20</v>
      </c>
      <c r="F248" s="23">
        <v>1</v>
      </c>
      <c r="G248" s="23"/>
      <c r="H248" s="25"/>
      <c r="I248" s="25"/>
      <c r="J248" s="21" t="s">
        <v>312</v>
      </c>
      <c r="K248" s="23" t="s">
        <v>21</v>
      </c>
      <c r="L248" s="21" t="s">
        <v>22</v>
      </c>
      <c r="M248" s="23"/>
      <c r="N248" s="23"/>
      <c r="O248" s="23"/>
      <c r="P248" s="23"/>
      <c r="Q248" s="27"/>
    </row>
    <row r="249" spans="1:17" ht="19.2" customHeight="1">
      <c r="A249" s="19"/>
      <c r="B249" s="10" t="str">
        <f>HYPERLINK("https://drive.google.com/file/d/1ms0OnrbVTMD4J_a0qql65LgNu9m6fP_l/view?usp=drivesdk","20260707_171517.jpg")</f>
        <v>20260707_171517.jpg</v>
      </c>
      <c r="C249" s="21"/>
      <c r="D249" s="21"/>
      <c r="E249" s="21"/>
      <c r="F249" s="23"/>
      <c r="G249" s="23"/>
      <c r="H249" s="25"/>
      <c r="I249" s="25"/>
      <c r="J249" s="21"/>
      <c r="K249" s="23"/>
      <c r="L249" s="21"/>
      <c r="M249" s="23"/>
      <c r="N249" s="23"/>
      <c r="O249" s="23"/>
      <c r="P249" s="23"/>
      <c r="Q249" s="27"/>
    </row>
    <row r="250" spans="1:17" ht="19.2" customHeight="1">
      <c r="A250" s="19" t="s">
        <v>315</v>
      </c>
      <c r="B250" s="10" t="str">
        <f>HYPERLINK("https://drive.google.com/file/d/1FXTj8JBP9r2EfIWWWuJacVviAUs9RbtD/view?usp=drivesdk","20260707_171457.jpg")</f>
        <v>20260707_171457.jpg</v>
      </c>
      <c r="C250" s="21" t="s">
        <v>316</v>
      </c>
      <c r="D250" s="21" t="s">
        <v>312</v>
      </c>
      <c r="E250" s="21" t="s">
        <v>20</v>
      </c>
      <c r="F250" s="23">
        <v>1</v>
      </c>
      <c r="G250" s="23"/>
      <c r="H250" s="25"/>
      <c r="I250" s="25"/>
      <c r="J250" s="21" t="s">
        <v>312</v>
      </c>
      <c r="K250" s="23" t="s">
        <v>21</v>
      </c>
      <c r="L250" s="21" t="s">
        <v>22</v>
      </c>
      <c r="M250" s="23"/>
      <c r="N250" s="23"/>
      <c r="O250" s="23"/>
      <c r="P250" s="23"/>
      <c r="Q250" s="27"/>
    </row>
    <row r="251" spans="1:17" ht="19.2" customHeight="1">
      <c r="A251" s="19"/>
      <c r="B251" s="10" t="str">
        <f>HYPERLINK("https://drive.google.com/file/d/1atDmVnD35b2qbQNh4Ui87k2scf87Kgfu/view?usp=drivesdk","20260707_171508.jpg")</f>
        <v>20260707_171508.jpg</v>
      </c>
      <c r="C251" s="21"/>
      <c r="D251" s="21"/>
      <c r="E251" s="21"/>
      <c r="F251" s="23"/>
      <c r="G251" s="23"/>
      <c r="H251" s="25"/>
      <c r="I251" s="25"/>
      <c r="J251" s="21"/>
      <c r="K251" s="23"/>
      <c r="L251" s="21"/>
      <c r="M251" s="23"/>
      <c r="N251" s="23"/>
      <c r="O251" s="23"/>
      <c r="P251" s="23"/>
      <c r="Q251" s="27"/>
    </row>
    <row r="252" spans="1:17" ht="19.2" customHeight="1">
      <c r="A252" s="19" t="s">
        <v>317</v>
      </c>
      <c r="B252" s="10" t="str">
        <f>HYPERLINK("https://drive.google.com/file/d/1WAF2Bz2B06LnLkFD2zPt-zGz5JHWXdMQ/view?usp=drivesdk","20260707_181054.jpg")</f>
        <v>20260707_181054.jpg</v>
      </c>
      <c r="C252" s="21" t="s">
        <v>318</v>
      </c>
      <c r="D252" s="21" t="s">
        <v>319</v>
      </c>
      <c r="E252" s="21" t="s">
        <v>20</v>
      </c>
      <c r="F252" s="23">
        <v>1</v>
      </c>
      <c r="G252" s="23"/>
      <c r="H252" s="25">
        <v>1000</v>
      </c>
      <c r="I252" s="25"/>
      <c r="J252" s="21" t="s">
        <v>319</v>
      </c>
      <c r="K252" s="23" t="s">
        <v>21</v>
      </c>
      <c r="L252" s="21" t="s">
        <v>22</v>
      </c>
      <c r="M252" s="23"/>
      <c r="N252" s="23"/>
      <c r="O252" s="23"/>
      <c r="P252" s="23"/>
      <c r="Q252" s="27" t="s">
        <v>320</v>
      </c>
    </row>
    <row r="253" spans="1:17" ht="19.2" customHeight="1">
      <c r="A253" s="28"/>
      <c r="B253" s="7" t="str">
        <f>HYPERLINK("https://drive.google.com/file/d/1_d69mTmtwZcj-i2g9TfFv4SzRA1M7KbD/view?usp=drivesdk","20260707_181251.jpg")</f>
        <v>20260707_181251.jpg</v>
      </c>
      <c r="C253" s="29"/>
      <c r="D253" s="29"/>
      <c r="E253" s="29"/>
      <c r="F253" s="30"/>
      <c r="G253" s="30"/>
      <c r="H253" s="31"/>
      <c r="I253" s="31"/>
      <c r="J253" s="29"/>
      <c r="K253" s="30"/>
      <c r="L253" s="29"/>
      <c r="M253" s="30"/>
      <c r="N253" s="30"/>
      <c r="O253" s="30"/>
      <c r="P253" s="30"/>
      <c r="Q253" s="32"/>
    </row>
    <row r="254" spans="1:17" ht="19.2" customHeight="1">
      <c r="A254" s="9" t="s">
        <v>321</v>
      </c>
      <c r="B254" s="10"/>
      <c r="C254" s="11" t="s">
        <v>322</v>
      </c>
      <c r="D254" s="11" t="s">
        <v>319</v>
      </c>
      <c r="E254" s="11" t="s">
        <v>20</v>
      </c>
      <c r="F254" s="10">
        <v>1</v>
      </c>
      <c r="G254" s="10"/>
      <c r="H254" s="11">
        <v>1000</v>
      </c>
      <c r="I254" s="11"/>
      <c r="J254" s="11" t="s">
        <v>319</v>
      </c>
      <c r="K254" s="11" t="s">
        <v>21</v>
      </c>
      <c r="L254" s="11" t="s">
        <v>26</v>
      </c>
      <c r="M254" s="10"/>
      <c r="N254" s="10"/>
      <c r="O254" s="10"/>
      <c r="P254" s="10"/>
      <c r="Q254" s="13" t="s">
        <v>320</v>
      </c>
    </row>
    <row r="255" spans="1:17" ht="19.2" customHeight="1">
      <c r="A255" s="19" t="s">
        <v>323</v>
      </c>
      <c r="B255" s="10" t="str">
        <f>HYPERLINK("https://drive.google.com/file/d/1O5zhUOwtbc05r1AAzHvxx4yLDdte9fn3/view?usp=drivesdk","20260707_171008.jpg")</f>
        <v>20260707_171008.jpg</v>
      </c>
      <c r="C255" s="21" t="s">
        <v>324</v>
      </c>
      <c r="D255" s="21" t="s">
        <v>325</v>
      </c>
      <c r="E255" s="21" t="s">
        <v>20</v>
      </c>
      <c r="F255" s="23">
        <v>1</v>
      </c>
      <c r="G255" s="23"/>
      <c r="H255" s="21"/>
      <c r="I255" s="21"/>
      <c r="J255" s="21" t="s">
        <v>325</v>
      </c>
      <c r="K255" s="21" t="s">
        <v>21</v>
      </c>
      <c r="L255" s="21" t="s">
        <v>22</v>
      </c>
      <c r="M255" s="23"/>
      <c r="N255" s="23"/>
      <c r="O255" s="23"/>
      <c r="P255" s="23"/>
      <c r="Q255" s="27"/>
    </row>
    <row r="256" spans="1:17" ht="19.2" customHeight="1">
      <c r="A256" s="19"/>
      <c r="B256" s="10" t="str">
        <f>HYPERLINK("https://drive.google.com/file/d/1OEo30xXQvlflQXy-1zEsGDHludC4GDAH/view?usp=drivesdk","20260707_171028.jpg")</f>
        <v>20260707_171028.jpg</v>
      </c>
      <c r="C256" s="21"/>
      <c r="D256" s="21"/>
      <c r="E256" s="21"/>
      <c r="F256" s="23"/>
      <c r="G256" s="23"/>
      <c r="H256" s="21"/>
      <c r="I256" s="21"/>
      <c r="J256" s="21"/>
      <c r="K256" s="21"/>
      <c r="L256" s="21"/>
      <c r="M256" s="23"/>
      <c r="N256" s="23"/>
      <c r="O256" s="23"/>
      <c r="P256" s="23"/>
      <c r="Q256" s="27"/>
    </row>
    <row r="257" spans="1:17" ht="19.2" customHeight="1">
      <c r="A257" s="19" t="s">
        <v>326</v>
      </c>
      <c r="B257" s="10" t="str">
        <f>HYPERLINK("https://drive.google.com/file/d/1JWifsGFUvzYFmeaSkzFlpsIh8PBc9mJB/view?usp=drivesdk","20260707_171355.jpg")</f>
        <v>20260707_171355.jpg</v>
      </c>
      <c r="C257" s="21" t="s">
        <v>327</v>
      </c>
      <c r="D257" s="21" t="s">
        <v>325</v>
      </c>
      <c r="E257" s="21" t="s">
        <v>20</v>
      </c>
      <c r="F257" s="23">
        <v>1</v>
      </c>
      <c r="G257" s="23"/>
      <c r="H257" s="21"/>
      <c r="I257" s="21"/>
      <c r="J257" s="21" t="s">
        <v>325</v>
      </c>
      <c r="K257" s="21" t="s">
        <v>21</v>
      </c>
      <c r="L257" s="21" t="s">
        <v>22</v>
      </c>
      <c r="M257" s="23"/>
      <c r="N257" s="23"/>
      <c r="O257" s="23"/>
      <c r="P257" s="23"/>
      <c r="Q257" s="27"/>
    </row>
    <row r="258" spans="1:17" ht="19.2" customHeight="1">
      <c r="A258" s="19"/>
      <c r="B258" s="10" t="str">
        <f>HYPERLINK("https://drive.google.com/file/d/1pQX0y_8-TvceoYdlTSkcrTbiVU0kv9x8/view?usp=drivesdk","20260707_171400.jpg")</f>
        <v>20260707_171400.jpg</v>
      </c>
      <c r="C258" s="21"/>
      <c r="D258" s="21"/>
      <c r="E258" s="21"/>
      <c r="F258" s="23"/>
      <c r="G258" s="23"/>
      <c r="H258" s="21"/>
      <c r="I258" s="21"/>
      <c r="J258" s="21"/>
      <c r="K258" s="21"/>
      <c r="L258" s="21"/>
      <c r="M258" s="23"/>
      <c r="N258" s="23"/>
      <c r="O258" s="23"/>
      <c r="P258" s="23"/>
      <c r="Q258" s="27"/>
    </row>
    <row r="259" spans="1:17" ht="19.2" customHeight="1">
      <c r="A259" s="19" t="s">
        <v>328</v>
      </c>
      <c r="B259" s="10" t="str">
        <f>HYPERLINK("https://drive.google.com/file/d/1H6nbLgoptpQXtoXq1dsVkSrKTWBIQI2V/view?usp=drivesdk","20260707_170830.jpg")</f>
        <v>20260707_170830.jpg</v>
      </c>
      <c r="C259" s="21" t="s">
        <v>329</v>
      </c>
      <c r="D259" s="21" t="s">
        <v>330</v>
      </c>
      <c r="E259" s="21" t="s">
        <v>20</v>
      </c>
      <c r="F259" s="23">
        <v>1</v>
      </c>
      <c r="G259" s="23"/>
      <c r="H259" s="21"/>
      <c r="I259" s="21"/>
      <c r="J259" s="21" t="s">
        <v>330</v>
      </c>
      <c r="K259" s="21" t="s">
        <v>21</v>
      </c>
      <c r="L259" s="21" t="s">
        <v>22</v>
      </c>
      <c r="M259" s="23"/>
      <c r="N259" s="23"/>
      <c r="O259" s="23"/>
      <c r="P259" s="23"/>
      <c r="Q259" s="27"/>
    </row>
    <row r="260" spans="1:17" ht="19.2" customHeight="1">
      <c r="A260" s="19"/>
      <c r="B260" s="10" t="str">
        <f>HYPERLINK("https://drive.google.com/file/d/1YCn171tstUGPOmOJMz2ei-lgsngVGFek/view?usp=drivesdk","20260707_170837.jpg")</f>
        <v>20260707_170837.jpg</v>
      </c>
      <c r="C260" s="21"/>
      <c r="D260" s="21"/>
      <c r="E260" s="21"/>
      <c r="F260" s="23"/>
      <c r="G260" s="23"/>
      <c r="H260" s="21"/>
      <c r="I260" s="21"/>
      <c r="J260" s="21"/>
      <c r="K260" s="21"/>
      <c r="L260" s="21"/>
      <c r="M260" s="23"/>
      <c r="N260" s="23"/>
      <c r="O260" s="23"/>
      <c r="P260" s="23"/>
      <c r="Q260" s="27"/>
    </row>
    <row r="261" spans="1:17" ht="19.2" customHeight="1">
      <c r="A261" s="9" t="s">
        <v>331</v>
      </c>
      <c r="B261" s="10"/>
      <c r="C261" s="11" t="s">
        <v>332</v>
      </c>
      <c r="D261" s="11" t="s">
        <v>332</v>
      </c>
      <c r="E261" s="11" t="s">
        <v>20</v>
      </c>
      <c r="F261" s="10">
        <v>1</v>
      </c>
      <c r="G261" s="10"/>
      <c r="H261" s="11"/>
      <c r="I261" s="11"/>
      <c r="J261" s="11" t="s">
        <v>332</v>
      </c>
      <c r="K261" s="11" t="s">
        <v>21</v>
      </c>
      <c r="L261" s="11" t="s">
        <v>47</v>
      </c>
      <c r="M261" s="10"/>
      <c r="N261" s="10"/>
      <c r="O261" s="10"/>
      <c r="P261" s="10"/>
      <c r="Q261" s="13"/>
    </row>
    <row r="262" spans="1:17" ht="19.2" customHeight="1">
      <c r="A262" s="19" t="s">
        <v>333</v>
      </c>
      <c r="B262" s="10" t="str">
        <f>HYPERLINK("https://drive.google.com/file/d/1lKep_ODpiK9ua_wrjUKOg6UI5WG9Cxfg/view?usp=drivesdk","20260707_115935.jpg")</f>
        <v>20260707_115935.jpg</v>
      </c>
      <c r="C262" s="21" t="s">
        <v>334</v>
      </c>
      <c r="D262" s="21" t="s">
        <v>335</v>
      </c>
      <c r="E262" s="21" t="s">
        <v>20</v>
      </c>
      <c r="F262" s="23">
        <v>1</v>
      </c>
      <c r="G262" s="23"/>
      <c r="H262" s="21"/>
      <c r="I262" s="21"/>
      <c r="J262" s="21" t="s">
        <v>335</v>
      </c>
      <c r="K262" s="21" t="s">
        <v>21</v>
      </c>
      <c r="L262" s="21" t="s">
        <v>22</v>
      </c>
      <c r="M262" s="23"/>
      <c r="N262" s="23"/>
      <c r="O262" s="23"/>
      <c r="P262" s="23"/>
      <c r="Q262" s="27"/>
    </row>
    <row r="263" spans="1:17" ht="19.2" customHeight="1">
      <c r="A263" s="19"/>
      <c r="B263" s="10" t="str">
        <f>HYPERLINK("https://drive.google.com/file/d/1vR5USYEDMwNY62Z5i1WA0I2kp-45aQZ8/view?usp=drivesdk","20260707_115946.jpg")</f>
        <v>20260707_115946.jpg</v>
      </c>
      <c r="C263" s="21"/>
      <c r="D263" s="21"/>
      <c r="E263" s="21"/>
      <c r="F263" s="23"/>
      <c r="G263" s="23"/>
      <c r="H263" s="21"/>
      <c r="I263" s="21"/>
      <c r="J263" s="21"/>
      <c r="K263" s="21"/>
      <c r="L263" s="21"/>
      <c r="M263" s="23"/>
      <c r="N263" s="23"/>
      <c r="O263" s="23"/>
      <c r="P263" s="23"/>
      <c r="Q263" s="27"/>
    </row>
    <row r="264" spans="1:17" ht="19.2" customHeight="1">
      <c r="A264" s="19"/>
      <c r="B264" s="10" t="str">
        <f>HYPERLINK("https://drive.google.com/file/d/1a4502tB97WW6aphUGiqK3wVYHIcehZyr/view?usp=drivesdk","20260707_120027.jpg")</f>
        <v>20260707_120027.jpg</v>
      </c>
      <c r="C264" s="21"/>
      <c r="D264" s="21"/>
      <c r="E264" s="21"/>
      <c r="F264" s="23"/>
      <c r="G264" s="23"/>
      <c r="H264" s="21"/>
      <c r="I264" s="21"/>
      <c r="J264" s="21"/>
      <c r="K264" s="21"/>
      <c r="L264" s="21"/>
      <c r="M264" s="23"/>
      <c r="N264" s="23"/>
      <c r="O264" s="23"/>
      <c r="P264" s="23"/>
      <c r="Q264" s="27"/>
    </row>
    <row r="265" spans="1:17" ht="19.2" customHeight="1">
      <c r="A265" s="9" t="s">
        <v>336</v>
      </c>
      <c r="B265" s="10"/>
      <c r="C265" s="11" t="s">
        <v>337</v>
      </c>
      <c r="D265" s="11" t="s">
        <v>335</v>
      </c>
      <c r="E265" s="11" t="s">
        <v>20</v>
      </c>
      <c r="F265" s="10">
        <v>1</v>
      </c>
      <c r="G265" s="10"/>
      <c r="H265" s="11"/>
      <c r="I265" s="11"/>
      <c r="J265" s="11" t="s">
        <v>335</v>
      </c>
      <c r="K265" s="11" t="s">
        <v>21</v>
      </c>
      <c r="L265" s="11" t="s">
        <v>338</v>
      </c>
      <c r="M265" s="10"/>
      <c r="N265" s="10"/>
      <c r="O265" s="10"/>
      <c r="P265" s="10"/>
      <c r="Q265" s="13"/>
    </row>
    <row r="266" spans="1:17" ht="19.2" customHeight="1">
      <c r="A266" s="19" t="s">
        <v>339</v>
      </c>
      <c r="B266" s="10" t="str">
        <f>HYPERLINK("https://drive.google.com/file/d/1EnP-Q9dCJVw4mamMTCj_jyqs5lwaTGaj/view?usp=drivesdk","20260707_171833.jpg")</f>
        <v>20260707_171833.jpg</v>
      </c>
      <c r="C266" s="21" t="s">
        <v>340</v>
      </c>
      <c r="D266" s="21" t="s">
        <v>341</v>
      </c>
      <c r="E266" s="21" t="s">
        <v>20</v>
      </c>
      <c r="F266" s="23">
        <v>1</v>
      </c>
      <c r="G266" s="23"/>
      <c r="H266" s="21"/>
      <c r="I266" s="21"/>
      <c r="J266" s="21" t="s">
        <v>341</v>
      </c>
      <c r="K266" s="21" t="s">
        <v>21</v>
      </c>
      <c r="L266" s="21" t="s">
        <v>22</v>
      </c>
      <c r="M266" s="23"/>
      <c r="N266" s="23"/>
      <c r="O266" s="23"/>
      <c r="P266" s="23"/>
      <c r="Q266" s="27"/>
    </row>
    <row r="267" spans="1:17" ht="19.2" customHeight="1">
      <c r="A267" s="19"/>
      <c r="B267" s="10" t="str">
        <f>HYPERLINK("https://drive.google.com/file/d/12OQQYx5eeQUMSwuYs9QWK5LpeqgDml-N/view?usp=drivesdk","20260707_171840.jpg")</f>
        <v>20260707_171840.jpg</v>
      </c>
      <c r="C267" s="21"/>
      <c r="D267" s="21"/>
      <c r="E267" s="21"/>
      <c r="F267" s="23"/>
      <c r="G267" s="23"/>
      <c r="H267" s="21"/>
      <c r="I267" s="21"/>
      <c r="J267" s="21"/>
      <c r="K267" s="21"/>
      <c r="L267" s="21"/>
      <c r="M267" s="23"/>
      <c r="N267" s="23"/>
      <c r="O267" s="23"/>
      <c r="P267" s="23"/>
      <c r="Q267" s="27"/>
    </row>
    <row r="268" spans="1:17" ht="19.2" customHeight="1">
      <c r="A268" s="19" t="s">
        <v>342</v>
      </c>
      <c r="B268" s="10" t="str">
        <f>HYPERLINK("https://drive.google.com/file/d/1Rbh0W6Ub_a1W34cg0pxqB08O8yFpYVuI/view?usp=drivesdk","20260707_145555.jpg")</f>
        <v>20260707_145555.jpg</v>
      </c>
      <c r="C268" s="21" t="s">
        <v>343</v>
      </c>
      <c r="D268" s="21" t="s">
        <v>344</v>
      </c>
      <c r="E268" s="21" t="s">
        <v>20</v>
      </c>
      <c r="F268" s="23">
        <v>1</v>
      </c>
      <c r="G268" s="23"/>
      <c r="H268" s="21"/>
      <c r="I268" s="21"/>
      <c r="J268" s="21" t="s">
        <v>344</v>
      </c>
      <c r="K268" s="21" t="s">
        <v>21</v>
      </c>
      <c r="L268" s="21" t="s">
        <v>345</v>
      </c>
      <c r="M268" s="23"/>
      <c r="N268" s="23"/>
      <c r="O268" s="23"/>
      <c r="P268" s="23"/>
      <c r="Q268" s="27"/>
    </row>
    <row r="269" spans="1:17" ht="19.2" customHeight="1">
      <c r="A269" s="19"/>
      <c r="B269" s="10" t="str">
        <f>HYPERLINK("https://drive.google.com/file/d/1NjDuhhr9r0iexM7_6mPRXkeGDqZ2ogBD/view?usp=drivesdk","20260707_145559.jpg")</f>
        <v>20260707_145559.jpg</v>
      </c>
      <c r="C269" s="21"/>
      <c r="D269" s="21"/>
      <c r="E269" s="21"/>
      <c r="F269" s="23"/>
      <c r="G269" s="23"/>
      <c r="H269" s="21"/>
      <c r="I269" s="21"/>
      <c r="J269" s="21"/>
      <c r="K269" s="21"/>
      <c r="L269" s="21"/>
      <c r="M269" s="23"/>
      <c r="N269" s="23"/>
      <c r="O269" s="23"/>
      <c r="P269" s="23"/>
      <c r="Q269" s="27"/>
    </row>
    <row r="270" spans="1:17" ht="19.2" customHeight="1">
      <c r="A270" s="19"/>
      <c r="B270" s="10" t="str">
        <f>HYPERLINK("https://drive.google.com/file/d/11HdagPfj6xlhVUu2udXzFiJ-OzUZTLEn/view?usp=drivesdk","20260707_164841.jpg")</f>
        <v>20260707_164841.jpg</v>
      </c>
      <c r="C270" s="21"/>
      <c r="D270" s="21"/>
      <c r="E270" s="21"/>
      <c r="F270" s="23"/>
      <c r="G270" s="23"/>
      <c r="H270" s="21"/>
      <c r="I270" s="21"/>
      <c r="J270" s="21"/>
      <c r="K270" s="21"/>
      <c r="L270" s="21"/>
      <c r="M270" s="23"/>
      <c r="N270" s="23"/>
      <c r="O270" s="23"/>
      <c r="P270" s="23"/>
      <c r="Q270" s="27"/>
    </row>
    <row r="271" spans="1:17" ht="19.2" customHeight="1">
      <c r="A271" s="19"/>
      <c r="B271" s="10" t="str">
        <f>HYPERLINK("https://drive.google.com/file/d/1M5pfy-Y3WLOfErD1Vs7RTA3PyJtbKiqE/view?usp=drivesdk","20260707_164846.jpg")</f>
        <v>20260707_164846.jpg</v>
      </c>
      <c r="C271" s="21"/>
      <c r="D271" s="21"/>
      <c r="E271" s="21"/>
      <c r="F271" s="23"/>
      <c r="G271" s="23"/>
      <c r="H271" s="21"/>
      <c r="I271" s="21"/>
      <c r="J271" s="21"/>
      <c r="K271" s="21"/>
      <c r="L271" s="21"/>
      <c r="M271" s="23"/>
      <c r="N271" s="23"/>
      <c r="O271" s="23"/>
      <c r="P271" s="23"/>
      <c r="Q271" s="27"/>
    </row>
    <row r="272" spans="1:17" ht="19.2" customHeight="1">
      <c r="A272" s="9" t="s">
        <v>346</v>
      </c>
      <c r="B272" s="10"/>
      <c r="C272" s="11" t="s">
        <v>347</v>
      </c>
      <c r="D272" s="11" t="s">
        <v>344</v>
      </c>
      <c r="E272" s="11" t="s">
        <v>20</v>
      </c>
      <c r="F272" s="10">
        <v>1</v>
      </c>
      <c r="G272" s="10"/>
      <c r="H272" s="11"/>
      <c r="I272" s="11"/>
      <c r="J272" s="11" t="s">
        <v>344</v>
      </c>
      <c r="K272" s="11" t="s">
        <v>21</v>
      </c>
      <c r="L272" s="11" t="s">
        <v>348</v>
      </c>
      <c r="M272" s="10"/>
      <c r="N272" s="10"/>
      <c r="O272" s="10"/>
      <c r="P272" s="10"/>
      <c r="Q272" s="13"/>
    </row>
    <row r="273" spans="1:17" ht="19.2" customHeight="1">
      <c r="A273" s="19" t="s">
        <v>349</v>
      </c>
      <c r="B273" s="10" t="str">
        <f>HYPERLINK("https://drive.google.com/file/d/1GO4CUL4-4bh3YNtMA5LcrZfJn5W-6SSZ/view?usp=drivesdk","1563.jpg")</f>
        <v>1563.jpg</v>
      </c>
      <c r="C273" s="21" t="s">
        <v>350</v>
      </c>
      <c r="D273" s="21" t="s">
        <v>344</v>
      </c>
      <c r="E273" s="21" t="s">
        <v>20</v>
      </c>
      <c r="F273" s="23">
        <v>1</v>
      </c>
      <c r="G273" s="23"/>
      <c r="H273" s="21"/>
      <c r="I273" s="21"/>
      <c r="J273" s="21" t="s">
        <v>344</v>
      </c>
      <c r="K273" s="21" t="s">
        <v>21</v>
      </c>
      <c r="L273" s="21" t="s">
        <v>22</v>
      </c>
      <c r="M273" s="23"/>
      <c r="N273" s="23"/>
      <c r="O273" s="23"/>
      <c r="P273" s="23"/>
      <c r="Q273" s="27"/>
    </row>
    <row r="274" spans="1:17" ht="19.2" customHeight="1">
      <c r="A274" s="19"/>
      <c r="B274" s="10" t="str">
        <f>HYPERLINK("https://drive.google.com/file/d/1J0g_MLDkg7Wc4rBN2fBuJbMTubdEsM2o/view?usp=drivesdk","20260707_145624.jpg")</f>
        <v>20260707_145624.jpg</v>
      </c>
      <c r="C274" s="21"/>
      <c r="D274" s="21"/>
      <c r="E274" s="21"/>
      <c r="F274" s="23"/>
      <c r="G274" s="23"/>
      <c r="H274" s="21"/>
      <c r="I274" s="21"/>
      <c r="J274" s="21"/>
      <c r="K274" s="21"/>
      <c r="L274" s="21"/>
      <c r="M274" s="23"/>
      <c r="N274" s="23"/>
      <c r="O274" s="23"/>
      <c r="P274" s="23"/>
      <c r="Q274" s="27"/>
    </row>
    <row r="275" spans="1:17" ht="19.2" customHeight="1">
      <c r="A275" s="19"/>
      <c r="B275" s="10" t="str">
        <f>HYPERLINK("https://drive.google.com/file/d/1LxViE8D9b4HqJPuPU7rTjRy4qRyNLxCc/view?usp=drivesdk","1563_1.jpg")</f>
        <v>1563_1.jpg</v>
      </c>
      <c r="C275" s="21"/>
      <c r="D275" s="21"/>
      <c r="E275" s="21"/>
      <c r="F275" s="23"/>
      <c r="G275" s="23"/>
      <c r="H275" s="21"/>
      <c r="I275" s="21"/>
      <c r="J275" s="21"/>
      <c r="K275" s="21"/>
      <c r="L275" s="21"/>
      <c r="M275" s="23"/>
      <c r="N275" s="23"/>
      <c r="O275" s="23"/>
      <c r="P275" s="23"/>
      <c r="Q275" s="27"/>
    </row>
    <row r="276" spans="1:17" ht="19.2" customHeight="1">
      <c r="A276" s="19" t="s">
        <v>351</v>
      </c>
      <c r="B276" s="10" t="str">
        <f>HYPERLINK("https://drive.google.com/file/d/175LQsvd10j_Q0Xv97oS75100vqHYIh7G/view?usp=drivesdk","20260707_145535.jpg")</f>
        <v>20260707_145535.jpg</v>
      </c>
      <c r="C276" s="21" t="s">
        <v>352</v>
      </c>
      <c r="D276" s="21" t="s">
        <v>344</v>
      </c>
      <c r="E276" s="21" t="s">
        <v>20</v>
      </c>
      <c r="F276" s="23">
        <v>1</v>
      </c>
      <c r="G276" s="23"/>
      <c r="H276" s="21"/>
      <c r="I276" s="21"/>
      <c r="J276" s="21" t="s">
        <v>344</v>
      </c>
      <c r="K276" s="21" t="s">
        <v>21</v>
      </c>
      <c r="L276" s="21" t="s">
        <v>22</v>
      </c>
      <c r="M276" s="23"/>
      <c r="N276" s="23"/>
      <c r="O276" s="23"/>
      <c r="P276" s="23"/>
      <c r="Q276" s="27"/>
    </row>
    <row r="277" spans="1:17" ht="19.2" customHeight="1">
      <c r="A277" s="19"/>
      <c r="B277" s="10" t="str">
        <f>HYPERLINK("https://drive.google.com/file/d/1wXVZBP1DJjp0_3SUKu_XfkXqSoa6avXI/view?usp=drivesdk","20260707_145635.jpg")</f>
        <v>20260707_145635.jpg</v>
      </c>
      <c r="C277" s="21"/>
      <c r="D277" s="21"/>
      <c r="E277" s="21"/>
      <c r="F277" s="23"/>
      <c r="G277" s="23"/>
      <c r="H277" s="21"/>
      <c r="I277" s="21"/>
      <c r="J277" s="21"/>
      <c r="K277" s="21"/>
      <c r="L277" s="21"/>
      <c r="M277" s="23"/>
      <c r="N277" s="23"/>
      <c r="O277" s="23"/>
      <c r="P277" s="23"/>
      <c r="Q277" s="27"/>
    </row>
    <row r="278" spans="1:17" ht="19.2" customHeight="1">
      <c r="A278" s="19"/>
      <c r="B278" s="10" t="str">
        <f>HYPERLINK("https://drive.google.com/file/d/1_nFjOkjn4VmVFi-1yoCNENbIuYb9CTjC/view?usp=drivesdk","20260707_145641.jpg")</f>
        <v>20260707_145641.jpg</v>
      </c>
      <c r="C278" s="21"/>
      <c r="D278" s="21"/>
      <c r="E278" s="21"/>
      <c r="F278" s="23"/>
      <c r="G278" s="23"/>
      <c r="H278" s="21"/>
      <c r="I278" s="21"/>
      <c r="J278" s="21"/>
      <c r="K278" s="21"/>
      <c r="L278" s="21"/>
      <c r="M278" s="23"/>
      <c r="N278" s="23"/>
      <c r="O278" s="23"/>
      <c r="P278" s="23"/>
      <c r="Q278" s="27"/>
    </row>
    <row r="279" spans="1:17" ht="19.2" customHeight="1">
      <c r="A279" s="19"/>
      <c r="B279" s="10" t="str">
        <f>HYPERLINK("https://drive.google.com/file/d/1npyWxS6SHf-GK49CUwgCjKonPQWnmE1-/view?usp=drivesdk","20260707_163216.jpg")</f>
        <v>20260707_163216.jpg</v>
      </c>
      <c r="C279" s="21"/>
      <c r="D279" s="21"/>
      <c r="E279" s="21"/>
      <c r="F279" s="23"/>
      <c r="G279" s="23"/>
      <c r="H279" s="21"/>
      <c r="I279" s="21"/>
      <c r="J279" s="21"/>
      <c r="K279" s="21"/>
      <c r="L279" s="21"/>
      <c r="M279" s="23"/>
      <c r="N279" s="23"/>
      <c r="O279" s="23"/>
      <c r="P279" s="23"/>
      <c r="Q279" s="27"/>
    </row>
    <row r="280" spans="1:17" ht="19.2" customHeight="1">
      <c r="A280" s="19"/>
      <c r="B280" s="10" t="str">
        <f>HYPERLINK("https://drive.google.com/file/d/1M1uSE5MHYPoZTY-Ii8Fxx--70Aqj-cmX/view?usp=drivesdk","20260707_163221.jpg")</f>
        <v>20260707_163221.jpg</v>
      </c>
      <c r="C280" s="21"/>
      <c r="D280" s="21"/>
      <c r="E280" s="21"/>
      <c r="F280" s="23"/>
      <c r="G280" s="23"/>
      <c r="H280" s="21"/>
      <c r="I280" s="21"/>
      <c r="J280" s="21"/>
      <c r="K280" s="21"/>
      <c r="L280" s="21"/>
      <c r="M280" s="23"/>
      <c r="N280" s="23"/>
      <c r="O280" s="23"/>
      <c r="P280" s="23"/>
      <c r="Q280" s="27"/>
    </row>
    <row r="281" spans="1:17" ht="19.2" customHeight="1">
      <c r="A281" s="19" t="s">
        <v>353</v>
      </c>
      <c r="B281" s="10" t="str">
        <f>HYPERLINK("https://drive.google.com/file/d/1UnuQAoEs8AXrAOEbk0biAvSHSv0gAqAv/view?usp=drivesdk","20260707_161846.jpg")</f>
        <v>20260707_161846.jpg</v>
      </c>
      <c r="C281" s="21" t="s">
        <v>354</v>
      </c>
      <c r="D281" s="21" t="s">
        <v>344</v>
      </c>
      <c r="E281" s="21" t="s">
        <v>20</v>
      </c>
      <c r="F281" s="23">
        <v>1</v>
      </c>
      <c r="G281" s="23"/>
      <c r="H281" s="21"/>
      <c r="I281" s="21"/>
      <c r="J281" s="21" t="s">
        <v>344</v>
      </c>
      <c r="K281" s="21" t="s">
        <v>21</v>
      </c>
      <c r="L281" s="21" t="s">
        <v>22</v>
      </c>
      <c r="M281" s="23"/>
      <c r="N281" s="23"/>
      <c r="O281" s="23"/>
      <c r="P281" s="23"/>
      <c r="Q281" s="27"/>
    </row>
    <row r="282" spans="1:17" ht="19.2" customHeight="1">
      <c r="A282" s="19"/>
      <c r="B282" s="10" t="str">
        <f>HYPERLINK("https://drive.google.com/file/d/16eNFLcawHwHJQf-aDunPmCgav9S0Nkl8/view?usp=drivesdk","20260707_161851.jpg")</f>
        <v>20260707_161851.jpg</v>
      </c>
      <c r="C282" s="21"/>
      <c r="D282" s="21"/>
      <c r="E282" s="21"/>
      <c r="F282" s="23"/>
      <c r="G282" s="23"/>
      <c r="H282" s="21"/>
      <c r="I282" s="21"/>
      <c r="J282" s="21"/>
      <c r="K282" s="21"/>
      <c r="L282" s="21"/>
      <c r="M282" s="23"/>
      <c r="N282" s="23"/>
      <c r="O282" s="23"/>
      <c r="P282" s="23"/>
      <c r="Q282" s="27"/>
    </row>
    <row r="283" spans="1:17" ht="19.2" customHeight="1">
      <c r="A283" s="19" t="s">
        <v>355</v>
      </c>
      <c r="B283" s="10" t="str">
        <f>HYPERLINK("https://drive.google.com/file/d/1vatzfV2lcSB3ZQtk1X2LC71OwHpVawiA/view?usp=drivesdk","20260707_163201.jpg")</f>
        <v>20260707_163201.jpg</v>
      </c>
      <c r="C283" s="21" t="s">
        <v>356</v>
      </c>
      <c r="D283" s="21" t="s">
        <v>344</v>
      </c>
      <c r="E283" s="21" t="s">
        <v>20</v>
      </c>
      <c r="F283" s="23">
        <v>1</v>
      </c>
      <c r="G283" s="23"/>
      <c r="H283" s="21"/>
      <c r="I283" s="21"/>
      <c r="J283" s="21" t="s">
        <v>344</v>
      </c>
      <c r="K283" s="21" t="s">
        <v>21</v>
      </c>
      <c r="L283" s="21" t="s">
        <v>357</v>
      </c>
      <c r="M283" s="23"/>
      <c r="N283" s="23"/>
      <c r="O283" s="23"/>
      <c r="P283" s="23"/>
      <c r="Q283" s="27"/>
    </row>
    <row r="284" spans="1:17" ht="19.2" customHeight="1">
      <c r="A284" s="19"/>
      <c r="B284" s="10" t="str">
        <f>HYPERLINK("https://drive.google.com/file/d/1D_rJw9XZS9dROn7MqW2SOdf7XmGRlbiF/view?usp=drivesdk","20260707_163206.jpg")</f>
        <v>20260707_163206.jpg</v>
      </c>
      <c r="C284" s="21"/>
      <c r="D284" s="21"/>
      <c r="E284" s="21"/>
      <c r="F284" s="23"/>
      <c r="G284" s="23"/>
      <c r="H284" s="21"/>
      <c r="I284" s="21"/>
      <c r="J284" s="21"/>
      <c r="K284" s="21"/>
      <c r="L284" s="21"/>
      <c r="M284" s="23"/>
      <c r="N284" s="23"/>
      <c r="O284" s="23"/>
      <c r="P284" s="23"/>
      <c r="Q284" s="27"/>
    </row>
    <row r="285" spans="1:17" ht="19.2" customHeight="1">
      <c r="A285" s="19" t="s">
        <v>358</v>
      </c>
      <c r="B285" s="10" t="str">
        <f>HYPERLINK("https://drive.google.com/file/d/1pp9isgSLmLWiA7gVnyZaFA8kfIryyS8L/view?usp=drivesdk","20260707_172406.jpg")</f>
        <v>20260707_172406.jpg</v>
      </c>
      <c r="C285" s="21" t="s">
        <v>359</v>
      </c>
      <c r="D285" s="21" t="s">
        <v>344</v>
      </c>
      <c r="E285" s="21" t="s">
        <v>20</v>
      </c>
      <c r="F285" s="23">
        <v>1</v>
      </c>
      <c r="G285" s="23"/>
      <c r="H285" s="21"/>
      <c r="I285" s="21"/>
      <c r="J285" s="21" t="s">
        <v>344</v>
      </c>
      <c r="K285" s="21" t="s">
        <v>21</v>
      </c>
      <c r="L285" s="21" t="s">
        <v>22</v>
      </c>
      <c r="M285" s="23"/>
      <c r="N285" s="23"/>
      <c r="O285" s="23"/>
      <c r="P285" s="23"/>
      <c r="Q285" s="27"/>
    </row>
    <row r="286" spans="1:17" ht="19.2" customHeight="1">
      <c r="A286" s="19"/>
      <c r="B286" s="10" t="str">
        <f>HYPERLINK("https://drive.google.com/file/d/1SDrYkI35Jpzl3V-IexjzVlgDFtFkt2C2/view?usp=drivesdk","20260707_172413.jpg")</f>
        <v>20260707_172413.jpg</v>
      </c>
      <c r="C286" s="21"/>
      <c r="D286" s="21"/>
      <c r="E286" s="21"/>
      <c r="F286" s="23"/>
      <c r="G286" s="23"/>
      <c r="H286" s="21"/>
      <c r="I286" s="21"/>
      <c r="J286" s="21"/>
      <c r="K286" s="21"/>
      <c r="L286" s="21"/>
      <c r="M286" s="23"/>
      <c r="N286" s="23"/>
      <c r="O286" s="23"/>
      <c r="P286" s="23"/>
      <c r="Q286" s="27"/>
    </row>
    <row r="287" spans="1:17" ht="19.2" customHeight="1">
      <c r="A287" s="19" t="s">
        <v>360</v>
      </c>
      <c r="B287" s="10" t="str">
        <f>HYPERLINK("https://drive.google.com/file/d/1gp4JtGOTJpArgVKv_EctD2XOFvjxozJJ/view?usp=drivesdk","20260707_171424.jpg")</f>
        <v>20260707_171424.jpg</v>
      </c>
      <c r="C287" s="21" t="s">
        <v>361</v>
      </c>
      <c r="D287" s="21" t="s">
        <v>344</v>
      </c>
      <c r="E287" s="21" t="s">
        <v>20</v>
      </c>
      <c r="F287" s="23">
        <v>1</v>
      </c>
      <c r="G287" s="23"/>
      <c r="H287" s="21"/>
      <c r="I287" s="21"/>
      <c r="J287" s="21" t="s">
        <v>344</v>
      </c>
      <c r="K287" s="21" t="s">
        <v>21</v>
      </c>
      <c r="L287" s="21" t="s">
        <v>22</v>
      </c>
      <c r="M287" s="23"/>
      <c r="N287" s="23"/>
      <c r="O287" s="23"/>
      <c r="P287" s="23"/>
      <c r="Q287" s="27"/>
    </row>
    <row r="288" spans="1:17" ht="19.2" customHeight="1">
      <c r="A288" s="19"/>
      <c r="B288" s="10" t="str">
        <f>HYPERLINK("https://drive.google.com/file/d/1aj21OVYgo-F0H_45yW-GLR-CWDHfqRJC/view?usp=drivesdk","20260707_171427.jpg")</f>
        <v>20260707_171427.jpg</v>
      </c>
      <c r="C288" s="21"/>
      <c r="D288" s="21"/>
      <c r="E288" s="21"/>
      <c r="F288" s="23"/>
      <c r="G288" s="23"/>
      <c r="H288" s="21"/>
      <c r="I288" s="21"/>
      <c r="J288" s="21"/>
      <c r="K288" s="21"/>
      <c r="L288" s="21"/>
      <c r="M288" s="23"/>
      <c r="N288" s="23"/>
      <c r="O288" s="23"/>
      <c r="P288" s="23"/>
      <c r="Q288" s="27"/>
    </row>
    <row r="289" spans="1:17" ht="19.2" customHeight="1">
      <c r="A289" s="19" t="s">
        <v>362</v>
      </c>
      <c r="B289" s="10" t="str">
        <f>HYPERLINK("https://drive.google.com/file/d/1IfsvLIpunOOLo9BqFvvtM46s305W5d-R/view?usp=drivesdk","20260707_171409.jpg")</f>
        <v>20260707_171409.jpg</v>
      </c>
      <c r="C289" s="21" t="s">
        <v>363</v>
      </c>
      <c r="D289" s="21" t="s">
        <v>344</v>
      </c>
      <c r="E289" s="21" t="s">
        <v>20</v>
      </c>
      <c r="F289" s="23">
        <v>1</v>
      </c>
      <c r="G289" s="23"/>
      <c r="H289" s="21"/>
      <c r="I289" s="21"/>
      <c r="J289" s="21" t="s">
        <v>344</v>
      </c>
      <c r="K289" s="21" t="s">
        <v>21</v>
      </c>
      <c r="L289" s="21" t="s">
        <v>22</v>
      </c>
      <c r="M289" s="23"/>
      <c r="N289" s="23"/>
      <c r="O289" s="23"/>
      <c r="P289" s="23"/>
      <c r="Q289" s="27"/>
    </row>
    <row r="290" spans="1:17" ht="19.2" customHeight="1">
      <c r="A290" s="19"/>
      <c r="B290" s="10" t="str">
        <f>HYPERLINK("https://drive.google.com/file/d/1L7fi5FxphhQe_z4dli79QDlfLvb0NvVt/view?usp=drivesdk","20260707_171419.jpg")</f>
        <v>20260707_171419.jpg</v>
      </c>
      <c r="C290" s="21"/>
      <c r="D290" s="21"/>
      <c r="E290" s="21"/>
      <c r="F290" s="23"/>
      <c r="G290" s="23"/>
      <c r="H290" s="21"/>
      <c r="I290" s="21"/>
      <c r="J290" s="21"/>
      <c r="K290" s="21"/>
      <c r="L290" s="21"/>
      <c r="M290" s="23"/>
      <c r="N290" s="23"/>
      <c r="O290" s="23"/>
      <c r="P290" s="23"/>
      <c r="Q290" s="27"/>
    </row>
    <row r="291" spans="1:17" ht="19.2" customHeight="1">
      <c r="A291" s="9" t="s">
        <v>364</v>
      </c>
      <c r="B291" s="10" t="str">
        <f>HYPERLINK("https://drive.google.com/file/d/1wO3D2P-OCMUn4y22N0jYEHDLjrhe9F2K/view?usp=drivesdk","20260707_171912.jpg")</f>
        <v>20260707_171912.jpg</v>
      </c>
      <c r="C291" s="11" t="s">
        <v>365</v>
      </c>
      <c r="D291" s="11" t="s">
        <v>344</v>
      </c>
      <c r="E291" s="11" t="s">
        <v>20</v>
      </c>
      <c r="F291" s="10">
        <v>1</v>
      </c>
      <c r="G291" s="10"/>
      <c r="H291" s="11"/>
      <c r="I291" s="11"/>
      <c r="J291" s="11" t="s">
        <v>344</v>
      </c>
      <c r="K291" s="11" t="s">
        <v>21</v>
      </c>
      <c r="L291" s="11" t="s">
        <v>22</v>
      </c>
      <c r="M291" s="10"/>
      <c r="N291" s="10"/>
      <c r="O291" s="10"/>
      <c r="P291" s="10"/>
      <c r="Q291" s="13"/>
    </row>
    <row r="292" spans="1:17" ht="19.2" customHeight="1">
      <c r="A292" s="9" t="s">
        <v>366</v>
      </c>
      <c r="B292" s="10" t="str">
        <f>HYPERLINK("https://drive.google.com/file/d/1dN4MDkaOC_TbfZ_j5CfcjpuEduDnWsB0/view?usp=drivesdk","20260707_171922.jpg")</f>
        <v>20260707_171922.jpg</v>
      </c>
      <c r="C292" s="11" t="s">
        <v>367</v>
      </c>
      <c r="D292" s="11" t="s">
        <v>344</v>
      </c>
      <c r="E292" s="11" t="s">
        <v>20</v>
      </c>
      <c r="F292" s="10">
        <v>1</v>
      </c>
      <c r="G292" s="10"/>
      <c r="H292" s="11"/>
      <c r="I292" s="11"/>
      <c r="J292" s="11" t="s">
        <v>344</v>
      </c>
      <c r="K292" s="11" t="s">
        <v>21</v>
      </c>
      <c r="L292" s="11" t="s">
        <v>22</v>
      </c>
      <c r="M292" s="10"/>
      <c r="N292" s="10"/>
      <c r="O292" s="10"/>
      <c r="P292" s="10"/>
      <c r="Q292" s="13"/>
    </row>
    <row r="293" spans="1:17" ht="19.2" customHeight="1">
      <c r="A293" s="9" t="s">
        <v>368</v>
      </c>
      <c r="B293" s="10"/>
      <c r="C293" s="11" t="s">
        <v>369</v>
      </c>
      <c r="D293" s="11" t="s">
        <v>344</v>
      </c>
      <c r="E293" s="11" t="s">
        <v>20</v>
      </c>
      <c r="F293" s="10">
        <v>1</v>
      </c>
      <c r="G293" s="10"/>
      <c r="H293" s="11"/>
      <c r="I293" s="11"/>
      <c r="J293" s="11" t="s">
        <v>344</v>
      </c>
      <c r="K293" s="11" t="s">
        <v>21</v>
      </c>
      <c r="L293" s="11" t="s">
        <v>157</v>
      </c>
      <c r="M293" s="10"/>
      <c r="N293" s="10"/>
      <c r="O293" s="10"/>
      <c r="P293" s="10"/>
      <c r="Q293" s="13"/>
    </row>
    <row r="294" spans="1:17" ht="19.2" customHeight="1">
      <c r="A294" s="9" t="s">
        <v>370</v>
      </c>
      <c r="B294" s="10"/>
      <c r="C294" s="11" t="s">
        <v>371</v>
      </c>
      <c r="D294" s="11" t="s">
        <v>344</v>
      </c>
      <c r="E294" s="11" t="s">
        <v>20</v>
      </c>
      <c r="F294" s="10">
        <v>1</v>
      </c>
      <c r="G294" s="10"/>
      <c r="H294" s="11"/>
      <c r="I294" s="11"/>
      <c r="J294" s="11" t="s">
        <v>344</v>
      </c>
      <c r="K294" s="11" t="s">
        <v>21</v>
      </c>
      <c r="L294" s="11" t="s">
        <v>157</v>
      </c>
      <c r="M294" s="10"/>
      <c r="N294" s="10"/>
      <c r="O294" s="10"/>
      <c r="P294" s="10"/>
      <c r="Q294" s="13"/>
    </row>
    <row r="295" spans="1:17" ht="19.2" customHeight="1">
      <c r="A295" s="19" t="s">
        <v>372</v>
      </c>
      <c r="B295" s="10" t="str">
        <f>HYPERLINK("https://drive.google.com/file/d/1EXSSdq-xVFfgN-U9idZ3CeOxLv2rmDgT/view?usp=drivesdk","20260707_172202.jpg")</f>
        <v>20260707_172202.jpg</v>
      </c>
      <c r="C295" s="21" t="s">
        <v>373</v>
      </c>
      <c r="D295" s="21" t="s">
        <v>374</v>
      </c>
      <c r="E295" s="21" t="s">
        <v>20</v>
      </c>
      <c r="F295" s="23">
        <v>1</v>
      </c>
      <c r="G295" s="23"/>
      <c r="H295" s="21"/>
      <c r="I295" s="21"/>
      <c r="J295" s="21" t="s">
        <v>374</v>
      </c>
      <c r="K295" s="21" t="s">
        <v>21</v>
      </c>
      <c r="L295" s="21" t="s">
        <v>22</v>
      </c>
      <c r="M295" s="23"/>
      <c r="N295" s="23"/>
      <c r="O295" s="23"/>
      <c r="P295" s="23"/>
      <c r="Q295" s="27"/>
    </row>
    <row r="296" spans="1:17" ht="19.2" customHeight="1">
      <c r="A296" s="19"/>
      <c r="B296" s="10" t="str">
        <f>HYPERLINK("https://drive.google.com/file/d/1jppI_9zsbobyE4R_O-gEOwbr6Pm8QEFb/view?usp=drivesdk","20260707_183005.jpg")</f>
        <v>20260707_183005.jpg</v>
      </c>
      <c r="C296" s="21"/>
      <c r="D296" s="21"/>
      <c r="E296" s="21"/>
      <c r="F296" s="23"/>
      <c r="G296" s="23"/>
      <c r="H296" s="21"/>
      <c r="I296" s="21"/>
      <c r="J296" s="21"/>
      <c r="K296" s="21"/>
      <c r="L296" s="21"/>
      <c r="M296" s="23"/>
      <c r="N296" s="23"/>
      <c r="O296" s="23"/>
      <c r="P296" s="23"/>
      <c r="Q296" s="27"/>
    </row>
    <row r="297" spans="1:17" ht="19.2" customHeight="1">
      <c r="A297" s="19"/>
      <c r="B297" s="10" t="str">
        <f>HYPERLINK("https://drive.google.com/file/d/1hrLy-IR5JsC5173hDC6kGPjn96ouRiDG/view?usp=drivesdk","20260707_183209.jpg")</f>
        <v>20260707_183209.jpg</v>
      </c>
      <c r="C297" s="21"/>
      <c r="D297" s="21"/>
      <c r="E297" s="21"/>
      <c r="F297" s="23"/>
      <c r="G297" s="23"/>
      <c r="H297" s="21"/>
      <c r="I297" s="21"/>
      <c r="J297" s="21"/>
      <c r="K297" s="21"/>
      <c r="L297" s="21"/>
      <c r="M297" s="23"/>
      <c r="N297" s="23"/>
      <c r="O297" s="23"/>
      <c r="P297" s="23"/>
      <c r="Q297" s="27"/>
    </row>
    <row r="298" spans="1:17" ht="19.2" customHeight="1">
      <c r="A298" s="19" t="s">
        <v>375</v>
      </c>
      <c r="B298" s="10" t="str">
        <f>HYPERLINK("https://drive.google.com/file/d/1WAF2Bz2B06LnLkFD2zPt-zGz5JHWXdMQ/view?usp=drivesdk","20260707_181054.jpg")</f>
        <v>20260707_181054.jpg</v>
      </c>
      <c r="C298" s="21" t="s">
        <v>376</v>
      </c>
      <c r="D298" s="21" t="s">
        <v>377</v>
      </c>
      <c r="E298" s="21" t="s">
        <v>20</v>
      </c>
      <c r="F298" s="23">
        <v>1</v>
      </c>
      <c r="G298" s="23"/>
      <c r="H298" s="21">
        <v>1400</v>
      </c>
      <c r="I298" s="21"/>
      <c r="J298" s="21" t="s">
        <v>377</v>
      </c>
      <c r="K298" s="21" t="s">
        <v>21</v>
      </c>
      <c r="L298" s="21" t="s">
        <v>22</v>
      </c>
      <c r="M298" s="23"/>
      <c r="N298" s="23"/>
      <c r="O298" s="23"/>
      <c r="P298" s="23"/>
      <c r="Q298" s="27" t="s">
        <v>378</v>
      </c>
    </row>
    <row r="299" spans="1:17" ht="19.2" customHeight="1">
      <c r="A299" s="19"/>
      <c r="B299" s="10" t="str">
        <f>HYPERLINK("https://drive.google.com/file/d/1_d69mTmtwZcj-i2g9TfFv4SzRA1M7KbD/view?usp=drivesdk","20260707_181251.jpg")</f>
        <v>20260707_181251.jpg</v>
      </c>
      <c r="C299" s="21"/>
      <c r="D299" s="21"/>
      <c r="E299" s="21"/>
      <c r="F299" s="23"/>
      <c r="G299" s="23"/>
      <c r="H299" s="21"/>
      <c r="I299" s="21"/>
      <c r="J299" s="21"/>
      <c r="K299" s="21"/>
      <c r="L299" s="21"/>
      <c r="M299" s="23"/>
      <c r="N299" s="23"/>
      <c r="O299" s="23"/>
      <c r="P299" s="23"/>
      <c r="Q299" s="27"/>
    </row>
    <row r="300" spans="1:17" ht="19.2" customHeight="1">
      <c r="A300" s="9" t="s">
        <v>379</v>
      </c>
      <c r="B300" s="10"/>
      <c r="C300" s="11" t="s">
        <v>380</v>
      </c>
      <c r="D300" s="11" t="s">
        <v>381</v>
      </c>
      <c r="E300" s="11" t="s">
        <v>20</v>
      </c>
      <c r="F300" s="10">
        <v>1</v>
      </c>
      <c r="G300" s="10"/>
      <c r="H300" s="11"/>
      <c r="I300" s="11"/>
      <c r="J300" s="11" t="s">
        <v>381</v>
      </c>
      <c r="K300" s="11" t="s">
        <v>21</v>
      </c>
      <c r="L300" s="11" t="s">
        <v>26</v>
      </c>
      <c r="M300" s="10"/>
      <c r="N300" s="10"/>
      <c r="O300" s="10"/>
      <c r="P300" s="10"/>
      <c r="Q300" s="13"/>
    </row>
    <row r="301" spans="1:17" ht="19.2" customHeight="1">
      <c r="A301" s="9" t="s">
        <v>382</v>
      </c>
      <c r="B301" s="10"/>
      <c r="C301" s="11" t="s">
        <v>383</v>
      </c>
      <c r="D301" s="11" t="s">
        <v>381</v>
      </c>
      <c r="E301" s="11" t="s">
        <v>20</v>
      </c>
      <c r="F301" s="10">
        <v>1</v>
      </c>
      <c r="G301" s="10"/>
      <c r="H301" s="11"/>
      <c r="I301" s="11"/>
      <c r="J301" s="11" t="s">
        <v>381</v>
      </c>
      <c r="K301" s="11" t="s">
        <v>21</v>
      </c>
      <c r="L301" s="11" t="s">
        <v>348</v>
      </c>
      <c r="M301" s="10"/>
      <c r="N301" s="10"/>
      <c r="O301" s="10"/>
      <c r="P301" s="10"/>
      <c r="Q301" s="13"/>
    </row>
    <row r="302" spans="1:17" ht="19.2" customHeight="1">
      <c r="A302" s="19" t="s">
        <v>384</v>
      </c>
      <c r="B302" s="10" t="str">
        <f>HYPERLINK("https://drive.google.com/file/d/18lEzVP7o2KWWIx6awEAX_yzkjtV41jv-/view?usp=drivesdk","20260707_171625.jpg")</f>
        <v>20260707_171625.jpg</v>
      </c>
      <c r="C302" s="21" t="s">
        <v>385</v>
      </c>
      <c r="D302" s="21" t="s">
        <v>386</v>
      </c>
      <c r="E302" s="21" t="s">
        <v>20</v>
      </c>
      <c r="F302" s="23">
        <v>1</v>
      </c>
      <c r="G302" s="23"/>
      <c r="H302" s="21"/>
      <c r="I302" s="21"/>
      <c r="J302" s="21" t="s">
        <v>386</v>
      </c>
      <c r="K302" s="21" t="s">
        <v>21</v>
      </c>
      <c r="L302" s="21" t="s">
        <v>22</v>
      </c>
      <c r="M302" s="23"/>
      <c r="N302" s="23"/>
      <c r="O302" s="23"/>
      <c r="P302" s="23"/>
      <c r="Q302" s="27"/>
    </row>
    <row r="303" spans="1:17" ht="19.2" customHeight="1">
      <c r="A303" s="19"/>
      <c r="B303" s="10" t="str">
        <f>HYPERLINK("https://drive.google.com/file/d/1MUsfa885MCIHgcRWGY2qWRmg1F2aZLG5/view?usp=drivesdk","20260707_171630.jpg")</f>
        <v>20260707_171630.jpg</v>
      </c>
      <c r="C303" s="21"/>
      <c r="D303" s="21"/>
      <c r="E303" s="21"/>
      <c r="F303" s="23"/>
      <c r="G303" s="23"/>
      <c r="H303" s="21"/>
      <c r="I303" s="21"/>
      <c r="J303" s="21"/>
      <c r="K303" s="21"/>
      <c r="L303" s="21"/>
      <c r="M303" s="23"/>
      <c r="N303" s="23"/>
      <c r="O303" s="23"/>
      <c r="P303" s="23"/>
      <c r="Q303" s="27"/>
    </row>
    <row r="304" spans="1:17" ht="19.2" customHeight="1">
      <c r="A304" s="19" t="s">
        <v>387</v>
      </c>
      <c r="B304" s="10" t="str">
        <f>HYPERLINK("https://drive.google.com/file/d/1saFIfUi8J46-REahWqstxcXonkqUt1xo/view?usp=drivesdk","20260707_171634.jpg")</f>
        <v>20260707_171634.jpg</v>
      </c>
      <c r="C304" s="21" t="s">
        <v>388</v>
      </c>
      <c r="D304" s="21" t="s">
        <v>386</v>
      </c>
      <c r="E304" s="21" t="s">
        <v>20</v>
      </c>
      <c r="F304" s="23">
        <v>1</v>
      </c>
      <c r="G304" s="23"/>
      <c r="H304" s="21"/>
      <c r="I304" s="21"/>
      <c r="J304" s="21" t="s">
        <v>386</v>
      </c>
      <c r="K304" s="21" t="s">
        <v>21</v>
      </c>
      <c r="L304" s="21" t="s">
        <v>22</v>
      </c>
      <c r="M304" s="23"/>
      <c r="N304" s="23"/>
      <c r="O304" s="23"/>
      <c r="P304" s="23"/>
      <c r="Q304" s="27"/>
    </row>
    <row r="305" spans="1:17" ht="19.2" customHeight="1">
      <c r="A305" s="19"/>
      <c r="B305" s="10" t="str">
        <f>HYPERLINK("https://drive.google.com/file/d/1n1b0dyyqQGhP4wxt-P1X4pKQWbQy5Nv3/view?usp=drivesdk","20260707_171638.jpg")</f>
        <v>20260707_171638.jpg</v>
      </c>
      <c r="C305" s="21"/>
      <c r="D305" s="21"/>
      <c r="E305" s="21"/>
      <c r="F305" s="23"/>
      <c r="G305" s="23"/>
      <c r="H305" s="21"/>
      <c r="I305" s="21"/>
      <c r="J305" s="21"/>
      <c r="K305" s="21"/>
      <c r="L305" s="21"/>
      <c r="M305" s="23"/>
      <c r="N305" s="23"/>
      <c r="O305" s="23"/>
      <c r="P305" s="23"/>
      <c r="Q305" s="27"/>
    </row>
    <row r="306" spans="1:17" ht="19.2" customHeight="1">
      <c r="A306" s="9" t="s">
        <v>389</v>
      </c>
      <c r="B306" s="10"/>
      <c r="C306" s="11" t="s">
        <v>390</v>
      </c>
      <c r="D306" s="11" t="s">
        <v>391</v>
      </c>
      <c r="E306" s="11" t="s">
        <v>20</v>
      </c>
      <c r="F306" s="10">
        <v>1</v>
      </c>
      <c r="G306" s="10"/>
      <c r="H306" s="11"/>
      <c r="I306" s="11"/>
      <c r="J306" s="11" t="s">
        <v>391</v>
      </c>
      <c r="K306" s="11" t="s">
        <v>21</v>
      </c>
      <c r="L306" s="11" t="s">
        <v>26</v>
      </c>
      <c r="M306" s="10"/>
      <c r="N306" s="10"/>
      <c r="O306" s="10"/>
      <c r="P306" s="10"/>
      <c r="Q306" s="13"/>
    </row>
    <row r="307" spans="1:17" ht="19.2" customHeight="1">
      <c r="A307" s="9" t="s">
        <v>392</v>
      </c>
      <c r="B307" s="10"/>
      <c r="C307" s="11" t="s">
        <v>393</v>
      </c>
      <c r="D307" s="11" t="s">
        <v>391</v>
      </c>
      <c r="E307" s="11" t="s">
        <v>20</v>
      </c>
      <c r="F307" s="10">
        <v>1</v>
      </c>
      <c r="G307" s="10"/>
      <c r="H307" s="11"/>
      <c r="I307" s="11"/>
      <c r="J307" s="11" t="s">
        <v>391</v>
      </c>
      <c r="K307" s="11" t="s">
        <v>21</v>
      </c>
      <c r="L307" s="11" t="s">
        <v>26</v>
      </c>
      <c r="M307" s="10"/>
      <c r="N307" s="10"/>
      <c r="O307" s="10"/>
      <c r="P307" s="10"/>
      <c r="Q307" s="13"/>
    </row>
    <row r="308" spans="1:17" ht="19.2" customHeight="1">
      <c r="A308" s="19" t="s">
        <v>394</v>
      </c>
      <c r="B308" s="10" t="str">
        <f>HYPERLINK("https://drive.google.com/file/d/1iNp9P6FGuftVClZKObTgZtr-7zvkjNrY/view?usp=drivesdk","20260707_120956.jpg")</f>
        <v>20260707_120956.jpg</v>
      </c>
      <c r="C308" s="21" t="s">
        <v>395</v>
      </c>
      <c r="D308" s="21" t="s">
        <v>391</v>
      </c>
      <c r="E308" s="21" t="s">
        <v>20</v>
      </c>
      <c r="F308" s="23">
        <v>1</v>
      </c>
      <c r="G308" s="23"/>
      <c r="H308" s="21"/>
      <c r="I308" s="21"/>
      <c r="J308" s="21" t="s">
        <v>391</v>
      </c>
      <c r="K308" s="21" t="s">
        <v>21</v>
      </c>
      <c r="L308" s="21" t="s">
        <v>22</v>
      </c>
      <c r="M308" s="23"/>
      <c r="N308" s="23"/>
      <c r="O308" s="23"/>
      <c r="P308" s="23"/>
      <c r="Q308" s="27"/>
    </row>
    <row r="309" spans="1:17" ht="19.2" customHeight="1">
      <c r="A309" s="19"/>
      <c r="B309" s="10" t="str">
        <f>HYPERLINK("https://drive.google.com/file/d/12hBNEK2joJMAiYJgTyr54GW1FtakS52e/view?usp=drivesdk","20260707_121003.jpg")</f>
        <v>20260707_121003.jpg</v>
      </c>
      <c r="C309" s="21"/>
      <c r="D309" s="21"/>
      <c r="E309" s="21"/>
      <c r="F309" s="23"/>
      <c r="G309" s="23"/>
      <c r="H309" s="21"/>
      <c r="I309" s="21"/>
      <c r="J309" s="21"/>
      <c r="K309" s="21"/>
      <c r="L309" s="21"/>
      <c r="M309" s="23"/>
      <c r="N309" s="23"/>
      <c r="O309" s="23"/>
      <c r="P309" s="23"/>
      <c r="Q309" s="27"/>
    </row>
    <row r="310" spans="1:17" ht="19.2" customHeight="1">
      <c r="A310" s="9" t="s">
        <v>396</v>
      </c>
      <c r="B310" s="10"/>
      <c r="C310" s="11" t="s">
        <v>397</v>
      </c>
      <c r="D310" s="11" t="s">
        <v>391</v>
      </c>
      <c r="E310" s="11" t="s">
        <v>20</v>
      </c>
      <c r="F310" s="10">
        <v>1</v>
      </c>
      <c r="G310" s="10"/>
      <c r="H310" s="11"/>
      <c r="I310" s="11"/>
      <c r="J310" s="11" t="s">
        <v>391</v>
      </c>
      <c r="K310" s="11" t="s">
        <v>21</v>
      </c>
      <c r="L310" s="11" t="s">
        <v>26</v>
      </c>
      <c r="M310" s="10"/>
      <c r="N310" s="10"/>
      <c r="O310" s="10"/>
      <c r="P310" s="10"/>
      <c r="Q310" s="13"/>
    </row>
    <row r="311" spans="1:17" ht="19.2" customHeight="1">
      <c r="A311" s="9" t="s">
        <v>398</v>
      </c>
      <c r="B311" s="10"/>
      <c r="C311" s="11" t="s">
        <v>399</v>
      </c>
      <c r="D311" s="11" t="s">
        <v>391</v>
      </c>
      <c r="E311" s="11" t="s">
        <v>20</v>
      </c>
      <c r="F311" s="10">
        <v>1</v>
      </c>
      <c r="G311" s="10"/>
      <c r="H311" s="11"/>
      <c r="I311" s="11"/>
      <c r="J311" s="11" t="s">
        <v>391</v>
      </c>
      <c r="K311" s="11" t="s">
        <v>21</v>
      </c>
      <c r="L311" s="11" t="s">
        <v>157</v>
      </c>
      <c r="M311" s="10"/>
      <c r="N311" s="10"/>
      <c r="O311" s="10"/>
      <c r="P311" s="10"/>
      <c r="Q311" s="13"/>
    </row>
    <row r="312" spans="1:17" ht="19.2" customHeight="1">
      <c r="A312" s="9" t="s">
        <v>400</v>
      </c>
      <c r="B312" s="10"/>
      <c r="C312" s="11" t="s">
        <v>401</v>
      </c>
      <c r="D312" s="11" t="s">
        <v>391</v>
      </c>
      <c r="E312" s="11" t="s">
        <v>20</v>
      </c>
      <c r="F312" s="10">
        <v>1</v>
      </c>
      <c r="G312" s="10"/>
      <c r="H312" s="11"/>
      <c r="I312" s="11"/>
      <c r="J312" s="11" t="s">
        <v>391</v>
      </c>
      <c r="K312" s="11" t="s">
        <v>21</v>
      </c>
      <c r="L312" s="11" t="s">
        <v>157</v>
      </c>
      <c r="M312" s="10"/>
      <c r="N312" s="10"/>
      <c r="O312" s="10"/>
      <c r="P312" s="10"/>
      <c r="Q312" s="13"/>
    </row>
    <row r="313" spans="1:17" ht="19.2" customHeight="1">
      <c r="A313" s="9" t="s">
        <v>402</v>
      </c>
      <c r="B313" s="10"/>
      <c r="C313" s="11" t="s">
        <v>403</v>
      </c>
      <c r="D313" s="11" t="s">
        <v>391</v>
      </c>
      <c r="E313" s="11" t="s">
        <v>20</v>
      </c>
      <c r="F313" s="10">
        <v>1</v>
      </c>
      <c r="G313" s="10"/>
      <c r="H313" s="11"/>
      <c r="I313" s="11"/>
      <c r="J313" s="11" t="s">
        <v>391</v>
      </c>
      <c r="K313" s="11" t="s">
        <v>21</v>
      </c>
      <c r="L313" s="11" t="s">
        <v>157</v>
      </c>
      <c r="M313" s="10"/>
      <c r="N313" s="10"/>
      <c r="O313" s="10"/>
      <c r="P313" s="10"/>
      <c r="Q313" s="13"/>
    </row>
    <row r="314" spans="1:17" ht="19.2" customHeight="1">
      <c r="A314" s="9" t="s">
        <v>404</v>
      </c>
      <c r="B314" s="10"/>
      <c r="C314" s="11" t="s">
        <v>405</v>
      </c>
      <c r="D314" s="11" t="s">
        <v>391</v>
      </c>
      <c r="E314" s="11" t="s">
        <v>20</v>
      </c>
      <c r="F314" s="10">
        <v>1</v>
      </c>
      <c r="G314" s="10"/>
      <c r="H314" s="11"/>
      <c r="I314" s="11"/>
      <c r="J314" s="11" t="s">
        <v>391</v>
      </c>
      <c r="K314" s="11" t="s">
        <v>21</v>
      </c>
      <c r="L314" s="11" t="s">
        <v>157</v>
      </c>
      <c r="M314" s="10"/>
      <c r="N314" s="10"/>
      <c r="O314" s="10"/>
      <c r="P314" s="10"/>
      <c r="Q314" s="13"/>
    </row>
    <row r="315" spans="1:17" ht="19.2" customHeight="1">
      <c r="A315" s="19" t="s">
        <v>406</v>
      </c>
      <c r="B315" s="10" t="str">
        <f>HYPERLINK("https://drive.google.com/file/d/1ADYBQEjYo3FOPmKE1oM9SKwgfwmnqXP1/view?usp=drivesdk","20260707_121010.jpg")</f>
        <v>20260707_121010.jpg</v>
      </c>
      <c r="C315" s="21" t="s">
        <v>407</v>
      </c>
      <c r="D315" s="21" t="s">
        <v>391</v>
      </c>
      <c r="E315" s="21" t="s">
        <v>20</v>
      </c>
      <c r="F315" s="23">
        <v>1</v>
      </c>
      <c r="G315" s="23"/>
      <c r="H315" s="21"/>
      <c r="I315" s="21"/>
      <c r="J315" s="21" t="s">
        <v>391</v>
      </c>
      <c r="K315" s="21" t="s">
        <v>21</v>
      </c>
      <c r="L315" s="21" t="s">
        <v>22</v>
      </c>
      <c r="M315" s="23"/>
      <c r="N315" s="23"/>
      <c r="O315" s="23"/>
      <c r="P315" s="23"/>
      <c r="Q315" s="27"/>
    </row>
    <row r="316" spans="1:17" ht="19.2" customHeight="1">
      <c r="A316" s="19"/>
      <c r="B316" s="10" t="str">
        <f>HYPERLINK("https://drive.google.com/file/d/1-jTisQyA2tneJTm7DKZ5eEt_l-i46OP5/view?usp=drivesdk","20260707_121016.jpg")</f>
        <v>20260707_121016.jpg</v>
      </c>
      <c r="C316" s="21"/>
      <c r="D316" s="21"/>
      <c r="E316" s="21"/>
      <c r="F316" s="23"/>
      <c r="G316" s="23"/>
      <c r="H316" s="21"/>
      <c r="I316" s="21"/>
      <c r="J316" s="21"/>
      <c r="K316" s="21"/>
      <c r="L316" s="21"/>
      <c r="M316" s="23"/>
      <c r="N316" s="23"/>
      <c r="O316" s="23"/>
      <c r="P316" s="23"/>
      <c r="Q316" s="27"/>
    </row>
    <row r="317" spans="1:17" ht="19.2" customHeight="1">
      <c r="A317" s="19"/>
      <c r="B317" s="10" t="str">
        <f>HYPERLINK("https://drive.google.com/file/d/1Mvcvd43pKYTmoDHZX0WL6InX82SCvYgH/view?usp=drivesdk","20260707_124012.jpg")</f>
        <v>20260707_124012.jpg</v>
      </c>
      <c r="C317" s="21"/>
      <c r="D317" s="21"/>
      <c r="E317" s="21"/>
      <c r="F317" s="23"/>
      <c r="G317" s="23"/>
      <c r="H317" s="21"/>
      <c r="I317" s="21"/>
      <c r="J317" s="21"/>
      <c r="K317" s="21"/>
      <c r="L317" s="21"/>
      <c r="M317" s="23"/>
      <c r="N317" s="23"/>
      <c r="O317" s="23"/>
      <c r="P317" s="23"/>
      <c r="Q317" s="27"/>
    </row>
    <row r="318" spans="1:17" ht="19.2" customHeight="1">
      <c r="A318" s="19"/>
      <c r="B318" s="10" t="str">
        <f>HYPERLINK("https://drive.google.com/file/d/12G7qG76LZzAqUc7Ygy3LoUzuGVXSas0M/view?usp=drivesdk","20260707_124039.jpg")</f>
        <v>20260707_124039.jpg</v>
      </c>
      <c r="C318" s="21"/>
      <c r="D318" s="21"/>
      <c r="E318" s="21"/>
      <c r="F318" s="23"/>
      <c r="G318" s="23"/>
      <c r="H318" s="21"/>
      <c r="I318" s="21"/>
      <c r="J318" s="21"/>
      <c r="K318" s="21"/>
      <c r="L318" s="21"/>
      <c r="M318" s="23"/>
      <c r="N318" s="23"/>
      <c r="O318" s="23"/>
      <c r="P318" s="23"/>
      <c r="Q318" s="27"/>
    </row>
    <row r="319" spans="1:17" ht="19.2" customHeight="1">
      <c r="A319" s="9" t="s">
        <v>408</v>
      </c>
      <c r="B319" s="10"/>
      <c r="C319" s="11" t="s">
        <v>409</v>
      </c>
      <c r="D319" s="11" t="s">
        <v>391</v>
      </c>
      <c r="E319" s="11" t="s">
        <v>20</v>
      </c>
      <c r="F319" s="10">
        <v>1</v>
      </c>
      <c r="G319" s="10"/>
      <c r="H319" s="11"/>
      <c r="I319" s="11"/>
      <c r="J319" s="11" t="s">
        <v>391</v>
      </c>
      <c r="K319" s="11" t="s">
        <v>21</v>
      </c>
      <c r="L319" s="11" t="s">
        <v>157</v>
      </c>
      <c r="M319" s="10"/>
      <c r="N319" s="10"/>
      <c r="O319" s="10"/>
      <c r="P319" s="10"/>
      <c r="Q319" s="13"/>
    </row>
    <row r="320" spans="1:17" ht="19.2" customHeight="1">
      <c r="A320" s="19" t="s">
        <v>410</v>
      </c>
      <c r="B320" s="10" t="str">
        <f>HYPERLINK("https://drive.google.com/file/d/1XfVMmCR64no_qpb0NNBTdZxnUmKA4fQO/view?usp=drivesdk","20260707_123117.jpg")</f>
        <v>20260707_123117.jpg</v>
      </c>
      <c r="C320" s="21" t="s">
        <v>411</v>
      </c>
      <c r="D320" s="21" t="s">
        <v>391</v>
      </c>
      <c r="E320" s="21" t="s">
        <v>20</v>
      </c>
      <c r="F320" s="23">
        <v>1</v>
      </c>
      <c r="G320" s="23"/>
      <c r="H320" s="21"/>
      <c r="I320" s="21"/>
      <c r="J320" s="21" t="s">
        <v>391</v>
      </c>
      <c r="K320" s="21" t="s">
        <v>21</v>
      </c>
      <c r="L320" s="21" t="s">
        <v>22</v>
      </c>
      <c r="M320" s="23"/>
      <c r="N320" s="23"/>
      <c r="O320" s="23"/>
      <c r="P320" s="23"/>
      <c r="Q320" s="27"/>
    </row>
    <row r="321" spans="1:17" ht="19.2" customHeight="1">
      <c r="A321" s="19"/>
      <c r="B321" s="10" t="str">
        <f>HYPERLINK("https://drive.google.com/file/d/18hv-uFG-eMbIesfGarAf9QC3rQXkrMCz/view?usp=drivesdk","20260707_123125.jpg")</f>
        <v>20260707_123125.jpg</v>
      </c>
      <c r="C321" s="21"/>
      <c r="D321" s="21"/>
      <c r="E321" s="21"/>
      <c r="F321" s="23"/>
      <c r="G321" s="23"/>
      <c r="H321" s="21"/>
      <c r="I321" s="21"/>
      <c r="J321" s="21"/>
      <c r="K321" s="21"/>
      <c r="L321" s="21"/>
      <c r="M321" s="23"/>
      <c r="N321" s="23"/>
      <c r="O321" s="23"/>
      <c r="P321" s="23"/>
      <c r="Q321" s="27"/>
    </row>
    <row r="322" spans="1:17" ht="19.2" customHeight="1">
      <c r="A322" s="9" t="s">
        <v>412</v>
      </c>
      <c r="B322" s="10"/>
      <c r="C322" s="11" t="s">
        <v>413</v>
      </c>
      <c r="D322" s="11" t="s">
        <v>391</v>
      </c>
      <c r="E322" s="11" t="s">
        <v>20</v>
      </c>
      <c r="F322" s="10">
        <v>1</v>
      </c>
      <c r="G322" s="10"/>
      <c r="H322" s="11"/>
      <c r="I322" s="11"/>
      <c r="J322" s="11" t="s">
        <v>391</v>
      </c>
      <c r="K322" s="11" t="s">
        <v>21</v>
      </c>
      <c r="L322" s="11" t="s">
        <v>157</v>
      </c>
      <c r="M322" s="10"/>
      <c r="N322" s="10"/>
      <c r="O322" s="10"/>
      <c r="P322" s="10"/>
      <c r="Q322" s="13"/>
    </row>
    <row r="323" spans="1:17" ht="19.2" customHeight="1">
      <c r="A323" s="9" t="s">
        <v>414</v>
      </c>
      <c r="B323" s="10"/>
      <c r="C323" s="11" t="s">
        <v>415</v>
      </c>
      <c r="D323" s="11" t="s">
        <v>391</v>
      </c>
      <c r="E323" s="11" t="s">
        <v>20</v>
      </c>
      <c r="F323" s="10">
        <v>1</v>
      </c>
      <c r="G323" s="10"/>
      <c r="H323" s="11"/>
      <c r="I323" s="11"/>
      <c r="J323" s="11" t="s">
        <v>391</v>
      </c>
      <c r="K323" s="11" t="s">
        <v>21</v>
      </c>
      <c r="L323" s="11" t="s">
        <v>157</v>
      </c>
      <c r="M323" s="10"/>
      <c r="N323" s="10"/>
      <c r="O323" s="10"/>
      <c r="P323" s="10"/>
      <c r="Q323" s="13"/>
    </row>
    <row r="324" spans="1:17" ht="19.2" customHeight="1">
      <c r="A324" s="9" t="s">
        <v>416</v>
      </c>
      <c r="B324" s="10"/>
      <c r="C324" s="11" t="s">
        <v>417</v>
      </c>
      <c r="D324" s="11" t="s">
        <v>391</v>
      </c>
      <c r="E324" s="11" t="s">
        <v>20</v>
      </c>
      <c r="F324" s="10">
        <v>1</v>
      </c>
      <c r="G324" s="10"/>
      <c r="H324" s="11"/>
      <c r="I324" s="11"/>
      <c r="J324" s="11" t="s">
        <v>391</v>
      </c>
      <c r="K324" s="11" t="s">
        <v>21</v>
      </c>
      <c r="L324" s="11" t="s">
        <v>157</v>
      </c>
      <c r="M324" s="10"/>
      <c r="N324" s="10"/>
      <c r="O324" s="10"/>
      <c r="P324" s="10"/>
      <c r="Q324" s="13"/>
    </row>
    <row r="325" spans="1:17" ht="19.2" customHeight="1">
      <c r="A325" s="9" t="s">
        <v>418</v>
      </c>
      <c r="B325" s="10"/>
      <c r="C325" s="11" t="s">
        <v>419</v>
      </c>
      <c r="D325" s="11" t="s">
        <v>391</v>
      </c>
      <c r="E325" s="11" t="s">
        <v>20</v>
      </c>
      <c r="F325" s="10">
        <v>1</v>
      </c>
      <c r="G325" s="10"/>
      <c r="H325" s="11"/>
      <c r="I325" s="11"/>
      <c r="J325" s="11" t="s">
        <v>391</v>
      </c>
      <c r="K325" s="11" t="s">
        <v>21</v>
      </c>
      <c r="L325" s="11" t="s">
        <v>26</v>
      </c>
      <c r="M325" s="10"/>
      <c r="N325" s="10"/>
      <c r="O325" s="10"/>
      <c r="P325" s="10"/>
      <c r="Q325" s="13"/>
    </row>
    <row r="326" spans="1:17" ht="19.2" customHeight="1">
      <c r="A326" s="9" t="s">
        <v>420</v>
      </c>
      <c r="B326" s="10"/>
      <c r="C326" s="11" t="s">
        <v>421</v>
      </c>
      <c r="D326" s="11" t="s">
        <v>391</v>
      </c>
      <c r="E326" s="11" t="s">
        <v>20</v>
      </c>
      <c r="F326" s="10">
        <v>1</v>
      </c>
      <c r="G326" s="10"/>
      <c r="H326" s="11"/>
      <c r="I326" s="11"/>
      <c r="J326" s="11" t="s">
        <v>391</v>
      </c>
      <c r="K326" s="11" t="s">
        <v>21</v>
      </c>
      <c r="L326" s="11" t="s">
        <v>157</v>
      </c>
      <c r="M326" s="10"/>
      <c r="N326" s="10"/>
      <c r="O326" s="10"/>
      <c r="P326" s="10"/>
      <c r="Q326" s="13"/>
    </row>
    <row r="327" spans="1:17" ht="19.2" customHeight="1">
      <c r="A327" s="9" t="s">
        <v>422</v>
      </c>
      <c r="B327" s="10"/>
      <c r="C327" s="11" t="s">
        <v>423</v>
      </c>
      <c r="D327" s="11" t="s">
        <v>424</v>
      </c>
      <c r="E327" s="11" t="s">
        <v>20</v>
      </c>
      <c r="F327" s="10">
        <v>1</v>
      </c>
      <c r="G327" s="10"/>
      <c r="H327" s="11"/>
      <c r="I327" s="11"/>
      <c r="J327" s="11" t="s">
        <v>424</v>
      </c>
      <c r="K327" s="11" t="s">
        <v>21</v>
      </c>
      <c r="L327" s="11" t="s">
        <v>425</v>
      </c>
      <c r="M327" s="10"/>
      <c r="N327" s="10"/>
      <c r="O327" s="10"/>
      <c r="P327" s="10"/>
      <c r="Q327" s="13"/>
    </row>
    <row r="328" spans="1:17" ht="19.2" customHeight="1">
      <c r="A328" s="19" t="s">
        <v>426</v>
      </c>
      <c r="B328" s="10" t="str">
        <f>HYPERLINK("https://drive.google.com/file/d/12IU9AdL-eHHMdYEIWsygFX6eZLgvFbe3/view?usp=drivesdk","20260707_123303.jpg")</f>
        <v>20260707_123303.jpg</v>
      </c>
      <c r="C328" s="21" t="s">
        <v>427</v>
      </c>
      <c r="D328" s="21" t="s">
        <v>428</v>
      </c>
      <c r="E328" s="21" t="s">
        <v>20</v>
      </c>
      <c r="F328" s="23">
        <v>1</v>
      </c>
      <c r="G328" s="23"/>
      <c r="H328" s="21"/>
      <c r="I328" s="21"/>
      <c r="J328" s="21" t="s">
        <v>428</v>
      </c>
      <c r="K328" s="21" t="s">
        <v>21</v>
      </c>
      <c r="L328" s="21" t="s">
        <v>22</v>
      </c>
      <c r="M328" s="23"/>
      <c r="N328" s="23"/>
      <c r="O328" s="23"/>
      <c r="P328" s="23"/>
      <c r="Q328" s="27"/>
    </row>
    <row r="329" spans="1:17" ht="19.2" customHeight="1">
      <c r="A329" s="19"/>
      <c r="B329" s="10" t="str">
        <f>HYPERLINK("https://drive.google.com/file/d/1BEWsHdfm-wD6pzk4ekPmsqMfotJIrlQc/view?usp=drivesdk","20260707_123325.jpg")</f>
        <v>20260707_123325.jpg</v>
      </c>
      <c r="C329" s="21"/>
      <c r="D329" s="21"/>
      <c r="E329" s="21"/>
      <c r="F329" s="23"/>
      <c r="G329" s="23"/>
      <c r="H329" s="21"/>
      <c r="I329" s="21"/>
      <c r="J329" s="21"/>
      <c r="K329" s="21"/>
      <c r="L329" s="21"/>
      <c r="M329" s="23"/>
      <c r="N329" s="23"/>
      <c r="O329" s="23"/>
      <c r="P329" s="23"/>
      <c r="Q329" s="27"/>
    </row>
    <row r="330" spans="1:17" ht="19.2" customHeight="1">
      <c r="A330" s="19"/>
      <c r="B330" s="10" t="str">
        <f>HYPERLINK("https://drive.google.com/file/d/1rcQ5vW9OFp5wFu86BVpIH5Qv2KQ95Qlt/view?usp=drivesdk","20260707_123327.jpg")</f>
        <v>20260707_123327.jpg</v>
      </c>
      <c r="C330" s="21"/>
      <c r="D330" s="21"/>
      <c r="E330" s="21"/>
      <c r="F330" s="23"/>
      <c r="G330" s="23"/>
      <c r="H330" s="21"/>
      <c r="I330" s="21"/>
      <c r="J330" s="21"/>
      <c r="K330" s="21"/>
      <c r="L330" s="21"/>
      <c r="M330" s="23"/>
      <c r="N330" s="23"/>
      <c r="O330" s="23"/>
      <c r="P330" s="23"/>
      <c r="Q330" s="27"/>
    </row>
    <row r="331" spans="1:17" ht="19.2" customHeight="1">
      <c r="A331" s="19"/>
      <c r="B331" s="10" t="str">
        <f>HYPERLINK("https://drive.google.com/file/d/17wDqCgg26r1dmFd7ErBR5z6n-ddk69MM/view?usp=drivesdk","20260707_123342.jpg")</f>
        <v>20260707_123342.jpg</v>
      </c>
      <c r="C331" s="21"/>
      <c r="D331" s="21"/>
      <c r="E331" s="21"/>
      <c r="F331" s="23"/>
      <c r="G331" s="23"/>
      <c r="H331" s="21"/>
      <c r="I331" s="21"/>
      <c r="J331" s="21"/>
      <c r="K331" s="21"/>
      <c r="L331" s="21"/>
      <c r="M331" s="23"/>
      <c r="N331" s="23"/>
      <c r="O331" s="23"/>
      <c r="P331" s="23"/>
      <c r="Q331" s="27"/>
    </row>
    <row r="332" spans="1:17" ht="19.2" customHeight="1">
      <c r="A332" s="19" t="s">
        <v>429</v>
      </c>
      <c r="B332" s="10" t="str">
        <f>HYPERLINK("https://drive.google.com/file/d/1bd16OhnkUspMIcA67-38367vBlijhgje/view?usp=drivesdk","20260707_123411.jpg")</f>
        <v>20260707_123411.jpg</v>
      </c>
      <c r="C332" s="21" t="s">
        <v>430</v>
      </c>
      <c r="D332" s="21" t="s">
        <v>428</v>
      </c>
      <c r="E332" s="21" t="s">
        <v>20</v>
      </c>
      <c r="F332" s="23">
        <v>1</v>
      </c>
      <c r="G332" s="23"/>
      <c r="H332" s="21"/>
      <c r="I332" s="21"/>
      <c r="J332" s="21" t="s">
        <v>428</v>
      </c>
      <c r="K332" s="21" t="s">
        <v>21</v>
      </c>
      <c r="L332" s="21" t="s">
        <v>22</v>
      </c>
      <c r="M332" s="23"/>
      <c r="N332" s="23"/>
      <c r="O332" s="23"/>
      <c r="P332" s="23"/>
      <c r="Q332" s="27"/>
    </row>
    <row r="333" spans="1:17" ht="19.2" customHeight="1">
      <c r="A333" s="19"/>
      <c r="B333" s="10" t="str">
        <f>HYPERLINK("https://drive.google.com/file/d/19fIn4TdfQ07_mqv0in-eY5yWqtniejk4/view?usp=drivesdk","20260707_123425.jpg")</f>
        <v>20260707_123425.jpg</v>
      </c>
      <c r="C333" s="21"/>
      <c r="D333" s="21"/>
      <c r="E333" s="21"/>
      <c r="F333" s="23"/>
      <c r="G333" s="23"/>
      <c r="H333" s="21"/>
      <c r="I333" s="21"/>
      <c r="J333" s="21"/>
      <c r="K333" s="21"/>
      <c r="L333" s="21"/>
      <c r="M333" s="23"/>
      <c r="N333" s="23"/>
      <c r="O333" s="23"/>
      <c r="P333" s="23"/>
      <c r="Q333" s="27"/>
    </row>
    <row r="334" spans="1:17" ht="19.2" customHeight="1">
      <c r="A334" s="19"/>
      <c r="B334" s="10" t="str">
        <f>HYPERLINK("https://drive.google.com/file/d/1MhpMcZcIrAX2ghw3QElTD3CUdFnQ8QJc/view?usp=drivesdk","20260707_123436.jpg")</f>
        <v>20260707_123436.jpg</v>
      </c>
      <c r="C334" s="21"/>
      <c r="D334" s="21"/>
      <c r="E334" s="21"/>
      <c r="F334" s="23"/>
      <c r="G334" s="23"/>
      <c r="H334" s="21"/>
      <c r="I334" s="21"/>
      <c r="J334" s="21"/>
      <c r="K334" s="21"/>
      <c r="L334" s="21"/>
      <c r="M334" s="23"/>
      <c r="N334" s="23"/>
      <c r="O334" s="23"/>
      <c r="P334" s="23"/>
      <c r="Q334" s="27"/>
    </row>
    <row r="335" spans="1:17" ht="19.2" customHeight="1">
      <c r="A335" s="19" t="s">
        <v>431</v>
      </c>
      <c r="B335" s="10" t="str">
        <f>HYPERLINK("https://drive.google.com/file/d/1qYN-w8_4L5FYuNscTyjK09_2Su_PGHf-/view?usp=drivesdk","20260707_123249.jpg")</f>
        <v>20260707_123249.jpg</v>
      </c>
      <c r="C335" s="21" t="s">
        <v>432</v>
      </c>
      <c r="D335" s="21" t="s">
        <v>428</v>
      </c>
      <c r="E335" s="21" t="s">
        <v>20</v>
      </c>
      <c r="F335" s="23">
        <v>1</v>
      </c>
      <c r="G335" s="23"/>
      <c r="H335" s="21"/>
      <c r="I335" s="21"/>
      <c r="J335" s="21" t="s">
        <v>428</v>
      </c>
      <c r="K335" s="21" t="s">
        <v>21</v>
      </c>
      <c r="L335" s="21" t="s">
        <v>22</v>
      </c>
      <c r="M335" s="23"/>
      <c r="N335" s="23"/>
      <c r="O335" s="23"/>
      <c r="P335" s="23"/>
      <c r="Q335" s="27"/>
    </row>
    <row r="336" spans="1:17" ht="19.2" customHeight="1">
      <c r="A336" s="19"/>
      <c r="B336" s="10" t="str">
        <f>HYPERLINK("https://drive.google.com/file/d/1cbf2YuuhW6Dj7Q45khrzOlBANuMhpMib/view?usp=drivesdk","20260707_123257.jpg")</f>
        <v>20260707_123257.jpg</v>
      </c>
      <c r="C336" s="21"/>
      <c r="D336" s="21"/>
      <c r="E336" s="21"/>
      <c r="F336" s="23"/>
      <c r="G336" s="23"/>
      <c r="H336" s="21"/>
      <c r="I336" s="21"/>
      <c r="J336" s="21"/>
      <c r="K336" s="21"/>
      <c r="L336" s="21"/>
      <c r="M336" s="23"/>
      <c r="N336" s="23"/>
      <c r="O336" s="23"/>
      <c r="P336" s="23"/>
      <c r="Q336" s="27"/>
    </row>
    <row r="337" spans="1:17" ht="19.2" customHeight="1">
      <c r="A337" s="19" t="s">
        <v>433</v>
      </c>
      <c r="B337" s="10" t="str">
        <f>HYPERLINK("https://drive.google.com/file/d/1B92sFxFD0uwIFBueRDqxKKdNML95-AVR/view?usp=drivesdk","20260707_123233.jpg")</f>
        <v>20260707_123233.jpg</v>
      </c>
      <c r="C337" s="21" t="s">
        <v>434</v>
      </c>
      <c r="D337" s="21" t="s">
        <v>428</v>
      </c>
      <c r="E337" s="21" t="s">
        <v>20</v>
      </c>
      <c r="F337" s="23">
        <v>1</v>
      </c>
      <c r="G337" s="23"/>
      <c r="H337" s="21"/>
      <c r="I337" s="21"/>
      <c r="J337" s="21" t="s">
        <v>428</v>
      </c>
      <c r="K337" s="21" t="s">
        <v>21</v>
      </c>
      <c r="L337" s="21" t="s">
        <v>22</v>
      </c>
      <c r="M337" s="23"/>
      <c r="N337" s="23"/>
      <c r="O337" s="23"/>
      <c r="P337" s="23"/>
      <c r="Q337" s="27"/>
    </row>
    <row r="338" spans="1:17" ht="19.2" customHeight="1">
      <c r="A338" s="19"/>
      <c r="B338" s="10" t="str">
        <f>HYPERLINK("https://drive.google.com/file/d/10c2MFNwXxcIh41Jf3h2upwea3VttkPh5/view?usp=drivesdk","20260707_123241.jpg")</f>
        <v>20260707_123241.jpg</v>
      </c>
      <c r="C338" s="21"/>
      <c r="D338" s="21"/>
      <c r="E338" s="21"/>
      <c r="F338" s="23"/>
      <c r="G338" s="23"/>
      <c r="H338" s="21"/>
      <c r="I338" s="21"/>
      <c r="J338" s="21"/>
      <c r="K338" s="21"/>
      <c r="L338" s="21"/>
      <c r="M338" s="23"/>
      <c r="N338" s="23"/>
      <c r="O338" s="23"/>
      <c r="P338" s="23"/>
      <c r="Q338" s="27"/>
    </row>
    <row r="339" spans="1:17" ht="19.2" customHeight="1">
      <c r="A339" s="19" t="s">
        <v>435</v>
      </c>
      <c r="B339" s="10" t="str">
        <f>HYPERLINK("https://drive.google.com/file/d/1v7khU7WaLn1qi6gxl0n5VWdRJdQdMznS/view?usp=drivesdk","20260707_123033.jpg")</f>
        <v>20260707_123033.jpg</v>
      </c>
      <c r="C339" s="21" t="s">
        <v>436</v>
      </c>
      <c r="D339" s="21" t="s">
        <v>428</v>
      </c>
      <c r="E339" s="21" t="s">
        <v>20</v>
      </c>
      <c r="F339" s="23">
        <v>1</v>
      </c>
      <c r="G339" s="23"/>
      <c r="H339" s="21"/>
      <c r="I339" s="21"/>
      <c r="J339" s="21" t="s">
        <v>428</v>
      </c>
      <c r="K339" s="21" t="s">
        <v>21</v>
      </c>
      <c r="L339" s="21" t="s">
        <v>22</v>
      </c>
      <c r="M339" s="23"/>
      <c r="N339" s="23"/>
      <c r="O339" s="23"/>
      <c r="P339" s="23"/>
      <c r="Q339" s="27"/>
    </row>
    <row r="340" spans="1:17" ht="19.2" customHeight="1">
      <c r="A340" s="19"/>
      <c r="B340" s="10" t="str">
        <f>HYPERLINK("https://drive.google.com/file/d/1K116eXlN3n4HaU5DcehPoTF8sFrEktIn/view?usp=drivesdk","20260707_123038.jpg")</f>
        <v>20260707_123038.jpg</v>
      </c>
      <c r="C340" s="21"/>
      <c r="D340" s="21"/>
      <c r="E340" s="21"/>
      <c r="F340" s="23"/>
      <c r="G340" s="23"/>
      <c r="H340" s="21"/>
      <c r="I340" s="21"/>
      <c r="J340" s="21"/>
      <c r="K340" s="21"/>
      <c r="L340" s="21"/>
      <c r="M340" s="23"/>
      <c r="N340" s="23"/>
      <c r="O340" s="23"/>
      <c r="P340" s="23"/>
      <c r="Q340" s="27"/>
    </row>
    <row r="341" spans="1:17" ht="19.2" customHeight="1">
      <c r="A341" s="19"/>
      <c r="B341" s="10" t="str">
        <f>HYPERLINK("https://drive.google.com/file/d/1ZpXuyVfkgk4xoRRrut7Z1rqjGx5B1gLD/view?usp=drivesdk","20260707_123108.jpg")</f>
        <v>20260707_123108.jpg</v>
      </c>
      <c r="C341" s="21"/>
      <c r="D341" s="21"/>
      <c r="E341" s="21"/>
      <c r="F341" s="23"/>
      <c r="G341" s="23"/>
      <c r="H341" s="21"/>
      <c r="I341" s="21"/>
      <c r="J341" s="21"/>
      <c r="K341" s="21"/>
      <c r="L341" s="21"/>
      <c r="M341" s="23"/>
      <c r="N341" s="23"/>
      <c r="O341" s="23"/>
      <c r="P341" s="23"/>
      <c r="Q341" s="27"/>
    </row>
    <row r="342" spans="1:17" ht="19.2" customHeight="1">
      <c r="A342" s="19" t="s">
        <v>437</v>
      </c>
      <c r="B342" s="10" t="str">
        <f>HYPERLINK("https://drive.google.com/file/d/1U0QCoGby_uhw6pfkBEowaHtyc3X0W36X/view?usp=drivesdk","20260707_113452.jpg")</f>
        <v>20260707_113452.jpg</v>
      </c>
      <c r="C342" s="21" t="s">
        <v>438</v>
      </c>
      <c r="D342" s="21" t="s">
        <v>428</v>
      </c>
      <c r="E342" s="21" t="s">
        <v>20</v>
      </c>
      <c r="F342" s="23">
        <v>1</v>
      </c>
      <c r="G342" s="23"/>
      <c r="H342" s="21"/>
      <c r="I342" s="21"/>
      <c r="J342" s="21" t="s">
        <v>428</v>
      </c>
      <c r="K342" s="21" t="s">
        <v>21</v>
      </c>
      <c r="L342" s="21" t="s">
        <v>22</v>
      </c>
      <c r="M342" s="23"/>
      <c r="N342" s="23"/>
      <c r="O342" s="23"/>
      <c r="P342" s="23"/>
      <c r="Q342" s="27"/>
    </row>
    <row r="343" spans="1:17" ht="19.2" customHeight="1">
      <c r="A343" s="19"/>
      <c r="B343" s="10" t="str">
        <f>HYPERLINK("https://drive.google.com/file/d/1thXfEaKLFZt1pCnHka-mZ6YzbV2jzjKJ/view?usp=drivesdk","20260707_113511.jpg")</f>
        <v>20260707_113511.jpg</v>
      </c>
      <c r="C343" s="21"/>
      <c r="D343" s="21"/>
      <c r="E343" s="21"/>
      <c r="F343" s="23"/>
      <c r="G343" s="23"/>
      <c r="H343" s="21"/>
      <c r="I343" s="21"/>
      <c r="J343" s="21"/>
      <c r="K343" s="21"/>
      <c r="L343" s="21"/>
      <c r="M343" s="23"/>
      <c r="N343" s="23"/>
      <c r="O343" s="23"/>
      <c r="P343" s="23"/>
      <c r="Q343" s="27"/>
    </row>
    <row r="344" spans="1:17" ht="19.2" customHeight="1">
      <c r="A344" s="19"/>
      <c r="B344" s="10" t="str">
        <f>HYPERLINK("https://drive.google.com/file/d/1M53y_pegA1pgv6ggPovDT9QasoKM5kCX/view?usp=drivesdk","20260707_113524.jpg")</f>
        <v>20260707_113524.jpg</v>
      </c>
      <c r="C344" s="21"/>
      <c r="D344" s="21"/>
      <c r="E344" s="21"/>
      <c r="F344" s="23"/>
      <c r="G344" s="23"/>
      <c r="H344" s="21"/>
      <c r="I344" s="21"/>
      <c r="J344" s="21"/>
      <c r="K344" s="21"/>
      <c r="L344" s="21"/>
      <c r="M344" s="23"/>
      <c r="N344" s="23"/>
      <c r="O344" s="23"/>
      <c r="P344" s="23"/>
      <c r="Q344" s="27"/>
    </row>
    <row r="345" spans="1:17" ht="19.2" customHeight="1">
      <c r="A345" s="9" t="s">
        <v>439</v>
      </c>
      <c r="B345" s="10"/>
      <c r="C345" s="11" t="s">
        <v>440</v>
      </c>
      <c r="D345" s="11" t="s">
        <v>428</v>
      </c>
      <c r="E345" s="11" t="s">
        <v>20</v>
      </c>
      <c r="F345" s="10">
        <v>1</v>
      </c>
      <c r="G345" s="10"/>
      <c r="H345" s="11"/>
      <c r="I345" s="11"/>
      <c r="J345" s="11" t="s">
        <v>428</v>
      </c>
      <c r="K345" s="11" t="s">
        <v>21</v>
      </c>
      <c r="L345" s="11" t="s">
        <v>26</v>
      </c>
      <c r="M345" s="10"/>
      <c r="N345" s="10"/>
      <c r="O345" s="10"/>
      <c r="P345" s="10"/>
      <c r="Q345" s="13"/>
    </row>
    <row r="346" spans="1:17" ht="19.2" customHeight="1">
      <c r="A346" s="19" t="s">
        <v>441</v>
      </c>
      <c r="B346" s="10" t="str">
        <f>HYPERLINK("https://drive.google.com/file/d/1gwUSEXHSYizoW4OhjK9YyDzYBlYACslH/view?usp=drivesdk","20260707_114856.jpg")</f>
        <v>20260707_114856.jpg</v>
      </c>
      <c r="C346" s="21" t="s">
        <v>442</v>
      </c>
      <c r="D346" s="21" t="s">
        <v>428</v>
      </c>
      <c r="E346" s="21" t="s">
        <v>20</v>
      </c>
      <c r="F346" s="23">
        <v>1</v>
      </c>
      <c r="G346" s="23"/>
      <c r="H346" s="21"/>
      <c r="I346" s="21"/>
      <c r="J346" s="21" t="s">
        <v>428</v>
      </c>
      <c r="K346" s="21" t="s">
        <v>21</v>
      </c>
      <c r="L346" s="21" t="s">
        <v>22</v>
      </c>
      <c r="M346" s="23"/>
      <c r="N346" s="23"/>
      <c r="O346" s="23"/>
      <c r="P346" s="23"/>
      <c r="Q346" s="27"/>
    </row>
    <row r="347" spans="1:17" ht="19.2" customHeight="1">
      <c r="A347" s="19"/>
      <c r="B347" s="10" t="str">
        <f>HYPERLINK("https://drive.google.com/file/d/1IH4f5sKV_ovWyM-I21ewQY74Q38bA2G5/view?usp=drivesdk","20260707_114903.jpg")</f>
        <v>20260707_114903.jpg</v>
      </c>
      <c r="C347" s="21"/>
      <c r="D347" s="21"/>
      <c r="E347" s="21"/>
      <c r="F347" s="23"/>
      <c r="G347" s="23"/>
      <c r="H347" s="21"/>
      <c r="I347" s="21"/>
      <c r="J347" s="21"/>
      <c r="K347" s="21"/>
      <c r="L347" s="21"/>
      <c r="M347" s="23"/>
      <c r="N347" s="23"/>
      <c r="O347" s="23"/>
      <c r="P347" s="23"/>
      <c r="Q347" s="27"/>
    </row>
    <row r="348" spans="1:17" ht="19.2" customHeight="1">
      <c r="A348" s="19"/>
      <c r="B348" s="10" t="str">
        <f>HYPERLINK("https://drive.google.com/file/d/1o6lMV9OG5xDXH3FqKthaevb5y2BAIeRG/view?usp=drivesdk","20260707_114923.jpg")</f>
        <v>20260707_114923.jpg</v>
      </c>
      <c r="C348" s="21"/>
      <c r="D348" s="21"/>
      <c r="E348" s="21"/>
      <c r="F348" s="23"/>
      <c r="G348" s="23"/>
      <c r="H348" s="21"/>
      <c r="I348" s="21"/>
      <c r="J348" s="21"/>
      <c r="K348" s="21"/>
      <c r="L348" s="21"/>
      <c r="M348" s="23"/>
      <c r="N348" s="23"/>
      <c r="O348" s="23"/>
      <c r="P348" s="23"/>
      <c r="Q348" s="27"/>
    </row>
    <row r="349" spans="1:17" ht="19.2" customHeight="1">
      <c r="A349" s="19" t="s">
        <v>443</v>
      </c>
      <c r="B349" s="10" t="str">
        <f>HYPERLINK("https://drive.google.com/file/d/1nTgbSS15OUOrZMPeZp_FweL_ie3OBrNM/view?usp=drivesdk","20260707_114931.jpg")</f>
        <v>20260707_114931.jpg</v>
      </c>
      <c r="C349" s="21" t="s">
        <v>444</v>
      </c>
      <c r="D349" s="21" t="s">
        <v>428</v>
      </c>
      <c r="E349" s="21" t="s">
        <v>20</v>
      </c>
      <c r="F349" s="23">
        <v>1</v>
      </c>
      <c r="G349" s="23"/>
      <c r="H349" s="21"/>
      <c r="I349" s="21"/>
      <c r="J349" s="21" t="s">
        <v>428</v>
      </c>
      <c r="K349" s="21" t="s">
        <v>21</v>
      </c>
      <c r="L349" s="21" t="s">
        <v>22</v>
      </c>
      <c r="M349" s="23"/>
      <c r="N349" s="23"/>
      <c r="O349" s="23"/>
      <c r="P349" s="23"/>
      <c r="Q349" s="27"/>
    </row>
    <row r="350" spans="1:17" ht="19.2" customHeight="1">
      <c r="A350" s="19"/>
      <c r="B350" s="10" t="str">
        <f>HYPERLINK("https://drive.google.com/file/d/1binJPyReIGQcqVIa0JmuxzoISba8fn4E/view?usp=drivesdk","20260707_114950.jpg")</f>
        <v>20260707_114950.jpg</v>
      </c>
      <c r="C350" s="21"/>
      <c r="D350" s="21"/>
      <c r="E350" s="21"/>
      <c r="F350" s="23"/>
      <c r="G350" s="23"/>
      <c r="H350" s="21"/>
      <c r="I350" s="21"/>
      <c r="J350" s="21"/>
      <c r="K350" s="21"/>
      <c r="L350" s="21"/>
      <c r="M350" s="23"/>
      <c r="N350" s="23"/>
      <c r="O350" s="23"/>
      <c r="P350" s="23"/>
      <c r="Q350" s="27"/>
    </row>
    <row r="351" spans="1:17" ht="19.2" customHeight="1">
      <c r="A351" s="19"/>
      <c r="B351" s="10" t="str">
        <f>HYPERLINK("https://drive.google.com/file/d/1D8ahIangWrhmigINvN5gP0Vsa6f0famD/view?usp=drivesdk","20260707_115041.jpg")</f>
        <v>20260707_115041.jpg</v>
      </c>
      <c r="C351" s="21"/>
      <c r="D351" s="21"/>
      <c r="E351" s="21"/>
      <c r="F351" s="23"/>
      <c r="G351" s="23"/>
      <c r="H351" s="21"/>
      <c r="I351" s="21"/>
      <c r="J351" s="21"/>
      <c r="K351" s="21"/>
      <c r="L351" s="21"/>
      <c r="M351" s="23"/>
      <c r="N351" s="23"/>
      <c r="O351" s="23"/>
      <c r="P351" s="23"/>
      <c r="Q351" s="27"/>
    </row>
    <row r="352" spans="1:17" ht="19.2" customHeight="1">
      <c r="A352" s="19"/>
      <c r="B352" s="10" t="str">
        <f>HYPERLINK("https://drive.google.com/file/d/1T5X0SMACk-1KOCu4xyzPje76uSjkObyD/view?usp=drivesdk","20260707_115052.jpg")</f>
        <v>20260707_115052.jpg</v>
      </c>
      <c r="C352" s="21"/>
      <c r="D352" s="21"/>
      <c r="E352" s="21"/>
      <c r="F352" s="23"/>
      <c r="G352" s="23"/>
      <c r="H352" s="21"/>
      <c r="I352" s="21"/>
      <c r="J352" s="21"/>
      <c r="K352" s="21"/>
      <c r="L352" s="21"/>
      <c r="M352" s="23"/>
      <c r="N352" s="23"/>
      <c r="O352" s="23"/>
      <c r="P352" s="23"/>
      <c r="Q352" s="27"/>
    </row>
    <row r="353" spans="1:17" ht="19.2" customHeight="1">
      <c r="A353" s="9" t="s">
        <v>445</v>
      </c>
      <c r="B353" s="10"/>
      <c r="C353" s="11" t="s">
        <v>446</v>
      </c>
      <c r="D353" s="11" t="s">
        <v>428</v>
      </c>
      <c r="E353" s="11" t="s">
        <v>20</v>
      </c>
      <c r="F353" s="10">
        <v>1</v>
      </c>
      <c r="G353" s="10"/>
      <c r="H353" s="11"/>
      <c r="I353" s="11"/>
      <c r="J353" s="11" t="s">
        <v>428</v>
      </c>
      <c r="K353" s="11" t="s">
        <v>21</v>
      </c>
      <c r="L353" s="11" t="s">
        <v>447</v>
      </c>
      <c r="M353" s="10"/>
      <c r="N353" s="10"/>
      <c r="O353" s="10"/>
      <c r="P353" s="10"/>
      <c r="Q353" s="13"/>
    </row>
    <row r="354" spans="1:17" ht="19.2" customHeight="1">
      <c r="A354" s="19" t="s">
        <v>448</v>
      </c>
      <c r="B354" s="10" t="str">
        <f>HYPERLINK("https://drive.google.com/file/d/19x0CQ9Gy-AIWvHbilMcZqwAtmauc0TXG/view?usp=drivesdk","20260707_113411.jpg")</f>
        <v>20260707_113411.jpg</v>
      </c>
      <c r="C354" s="21" t="s">
        <v>449</v>
      </c>
      <c r="D354" s="21" t="s">
        <v>428</v>
      </c>
      <c r="E354" s="21" t="s">
        <v>20</v>
      </c>
      <c r="F354" s="23">
        <v>1</v>
      </c>
      <c r="G354" s="23"/>
      <c r="H354" s="21"/>
      <c r="I354" s="21"/>
      <c r="J354" s="21" t="s">
        <v>428</v>
      </c>
      <c r="K354" s="21" t="s">
        <v>21</v>
      </c>
      <c r="L354" s="21" t="s">
        <v>22</v>
      </c>
      <c r="M354" s="23"/>
      <c r="N354" s="23"/>
      <c r="O354" s="23"/>
      <c r="P354" s="23"/>
      <c r="Q354" s="27"/>
    </row>
    <row r="355" spans="1:17" ht="19.2" customHeight="1">
      <c r="A355" s="19"/>
      <c r="B355" s="10" t="str">
        <f>HYPERLINK("https://drive.google.com/file/d/10ZSLQGR-ZtgeYKfSdtjz4nJMw2R_KeVc/view?usp=drivesdk","20260707_113420.jpg")</f>
        <v>20260707_113420.jpg</v>
      </c>
      <c r="C355" s="21"/>
      <c r="D355" s="21"/>
      <c r="E355" s="21"/>
      <c r="F355" s="23"/>
      <c r="G355" s="23"/>
      <c r="H355" s="21"/>
      <c r="I355" s="21"/>
      <c r="J355" s="21"/>
      <c r="K355" s="21"/>
      <c r="L355" s="21"/>
      <c r="M355" s="23"/>
      <c r="N355" s="23"/>
      <c r="O355" s="23"/>
      <c r="P355" s="23"/>
      <c r="Q355" s="27"/>
    </row>
    <row r="356" spans="1:17" ht="19.2" customHeight="1">
      <c r="A356" s="19"/>
      <c r="B356" s="10" t="str">
        <f>HYPERLINK("https://drive.google.com/file/d/1YU-iRBZ84x9HjgYD75JDEh0eFoisiv1e/view?usp=drivesdk","20260707_113435.jpg")</f>
        <v>20260707_113435.jpg</v>
      </c>
      <c r="C356" s="21"/>
      <c r="D356" s="21"/>
      <c r="E356" s="21"/>
      <c r="F356" s="23"/>
      <c r="G356" s="23"/>
      <c r="H356" s="21"/>
      <c r="I356" s="21"/>
      <c r="J356" s="21"/>
      <c r="K356" s="21"/>
      <c r="L356" s="21"/>
      <c r="M356" s="23"/>
      <c r="N356" s="23"/>
      <c r="O356" s="23"/>
      <c r="P356" s="23"/>
      <c r="Q356" s="27"/>
    </row>
    <row r="357" spans="1:17" ht="19.2" customHeight="1">
      <c r="A357" s="19" t="s">
        <v>450</v>
      </c>
      <c r="B357" s="10" t="str">
        <f>HYPERLINK("https://drive.google.com/file/d/1iJdrsRD1lnS-AqkqQguND_VOtnGVKRvo/view?usp=drivesdk","20260707_113648.jpg")</f>
        <v>20260707_113648.jpg</v>
      </c>
      <c r="C357" s="21" t="s">
        <v>451</v>
      </c>
      <c r="D357" s="21" t="s">
        <v>428</v>
      </c>
      <c r="E357" s="21" t="s">
        <v>20</v>
      </c>
      <c r="F357" s="23">
        <v>1</v>
      </c>
      <c r="G357" s="23"/>
      <c r="H357" s="21"/>
      <c r="I357" s="21"/>
      <c r="J357" s="21" t="s">
        <v>428</v>
      </c>
      <c r="K357" s="21" t="s">
        <v>21</v>
      </c>
      <c r="L357" s="21" t="s">
        <v>22</v>
      </c>
      <c r="M357" s="23"/>
      <c r="N357" s="23"/>
      <c r="O357" s="23"/>
      <c r="P357" s="23"/>
      <c r="Q357" s="27"/>
    </row>
    <row r="358" spans="1:17" ht="19.2" customHeight="1">
      <c r="A358" s="19"/>
      <c r="B358" s="10" t="str">
        <f>HYPERLINK("https://drive.google.com/file/d/19Dlqgob4qt12eMDyXeYeCbKVJT3touPN/view?usp=drivesdk","20260707_113659.jpg")</f>
        <v>20260707_113659.jpg</v>
      </c>
      <c r="C358" s="21"/>
      <c r="D358" s="21"/>
      <c r="E358" s="21"/>
      <c r="F358" s="23"/>
      <c r="G358" s="23"/>
      <c r="H358" s="21"/>
      <c r="I358" s="21"/>
      <c r="J358" s="21"/>
      <c r="K358" s="21"/>
      <c r="L358" s="21"/>
      <c r="M358" s="23"/>
      <c r="N358" s="23"/>
      <c r="O358" s="23"/>
      <c r="P358" s="23"/>
      <c r="Q358" s="27"/>
    </row>
    <row r="359" spans="1:17" ht="19.2" customHeight="1">
      <c r="A359" s="19"/>
      <c r="B359" s="10" t="str">
        <f>HYPERLINK("https://drive.google.com/file/d/1yieWV-W5eN_jqSwGNF1nZV1STdYXBdSK/view?usp=drivesdk","20260707_113708.jpg")</f>
        <v>20260707_113708.jpg</v>
      </c>
      <c r="C359" s="21"/>
      <c r="D359" s="21"/>
      <c r="E359" s="21"/>
      <c r="F359" s="23"/>
      <c r="G359" s="23"/>
      <c r="H359" s="21"/>
      <c r="I359" s="21"/>
      <c r="J359" s="21"/>
      <c r="K359" s="21"/>
      <c r="L359" s="21"/>
      <c r="M359" s="23"/>
      <c r="N359" s="23"/>
      <c r="O359" s="23"/>
      <c r="P359" s="23"/>
      <c r="Q359" s="27"/>
    </row>
    <row r="360" spans="1:17" ht="19.2" customHeight="1">
      <c r="A360" s="9" t="s">
        <v>452</v>
      </c>
      <c r="B360" s="10"/>
      <c r="C360" s="11" t="s">
        <v>453</v>
      </c>
      <c r="D360" s="11" t="s">
        <v>428</v>
      </c>
      <c r="E360" s="11" t="s">
        <v>20</v>
      </c>
      <c r="F360" s="10">
        <v>1</v>
      </c>
      <c r="G360" s="10"/>
      <c r="H360" s="11"/>
      <c r="I360" s="11"/>
      <c r="J360" s="11" t="s">
        <v>428</v>
      </c>
      <c r="K360" s="11" t="s">
        <v>21</v>
      </c>
      <c r="L360" s="11" t="s">
        <v>26</v>
      </c>
      <c r="M360" s="10"/>
      <c r="N360" s="10"/>
      <c r="O360" s="10"/>
      <c r="P360" s="10"/>
      <c r="Q360" s="13"/>
    </row>
    <row r="361" spans="1:17" ht="19.2" customHeight="1">
      <c r="A361" s="19" t="s">
        <v>454</v>
      </c>
      <c r="B361" s="10" t="str">
        <f>HYPERLINK("https://drive.google.com/file/d/1PaFW6rp7RY27Negxi9TnfdwVyCo9LX0u/view?usp=drivesdk","20260707_135037.jpg")</f>
        <v>20260707_135037.jpg</v>
      </c>
      <c r="C361" s="21" t="s">
        <v>455</v>
      </c>
      <c r="D361" s="21" t="s">
        <v>428</v>
      </c>
      <c r="E361" s="21" t="s">
        <v>20</v>
      </c>
      <c r="F361" s="23">
        <v>1</v>
      </c>
      <c r="G361" s="23"/>
      <c r="H361" s="21"/>
      <c r="I361" s="21"/>
      <c r="J361" s="21" t="s">
        <v>428</v>
      </c>
      <c r="K361" s="21" t="s">
        <v>21</v>
      </c>
      <c r="L361" s="21" t="s">
        <v>22</v>
      </c>
      <c r="M361" s="23"/>
      <c r="N361" s="23"/>
      <c r="O361" s="23"/>
      <c r="P361" s="23"/>
      <c r="Q361" s="27"/>
    </row>
    <row r="362" spans="1:17" ht="19.2" customHeight="1">
      <c r="A362" s="19"/>
      <c r="B362" s="10" t="str">
        <f>HYPERLINK("https://drive.google.com/file/d/1YiD_9lB5rGyqzP05k1uSCYaSZn8uQRZJ/view?usp=drivesdk","20260707_135043.jpg")</f>
        <v>20260707_135043.jpg</v>
      </c>
      <c r="C362" s="21"/>
      <c r="D362" s="21"/>
      <c r="E362" s="21"/>
      <c r="F362" s="23"/>
      <c r="G362" s="23"/>
      <c r="H362" s="21"/>
      <c r="I362" s="21"/>
      <c r="J362" s="21"/>
      <c r="K362" s="21"/>
      <c r="L362" s="21"/>
      <c r="M362" s="23"/>
      <c r="N362" s="23"/>
      <c r="O362" s="23"/>
      <c r="P362" s="23"/>
      <c r="Q362" s="27"/>
    </row>
    <row r="363" spans="1:17" ht="19.2" customHeight="1">
      <c r="A363" s="19"/>
      <c r="B363" s="10" t="str">
        <f>HYPERLINK("https://drive.google.com/file/d/1CvUh7IPHec0S66EQQU-6bAx7oeaYK6YS/view?usp=drivesdk","20260707_135216.jpg")</f>
        <v>20260707_135216.jpg</v>
      </c>
      <c r="C363" s="21"/>
      <c r="D363" s="21"/>
      <c r="E363" s="21"/>
      <c r="F363" s="23"/>
      <c r="G363" s="23"/>
      <c r="H363" s="21"/>
      <c r="I363" s="21"/>
      <c r="J363" s="21"/>
      <c r="K363" s="21"/>
      <c r="L363" s="21"/>
      <c r="M363" s="23"/>
      <c r="N363" s="23"/>
      <c r="O363" s="23"/>
      <c r="P363" s="23"/>
      <c r="Q363" s="27"/>
    </row>
    <row r="364" spans="1:17" ht="19.2" customHeight="1">
      <c r="A364" s="9" t="s">
        <v>456</v>
      </c>
      <c r="B364" s="10"/>
      <c r="C364" s="11" t="s">
        <v>457</v>
      </c>
      <c r="D364" s="11" t="s">
        <v>428</v>
      </c>
      <c r="E364" s="11" t="s">
        <v>20</v>
      </c>
      <c r="F364" s="10">
        <v>1</v>
      </c>
      <c r="G364" s="10"/>
      <c r="H364" s="11"/>
      <c r="I364" s="11"/>
      <c r="J364" s="11" t="s">
        <v>428</v>
      </c>
      <c r="K364" s="11" t="s">
        <v>21</v>
      </c>
      <c r="L364" s="11" t="s">
        <v>458</v>
      </c>
      <c r="M364" s="10"/>
      <c r="N364" s="10"/>
      <c r="O364" s="10"/>
      <c r="P364" s="10"/>
      <c r="Q364" s="13"/>
    </row>
    <row r="365" spans="1:17" ht="19.2" customHeight="1">
      <c r="A365" s="9" t="s">
        <v>459</v>
      </c>
      <c r="B365" s="10"/>
      <c r="C365" s="11" t="s">
        <v>460</v>
      </c>
      <c r="D365" s="11" t="s">
        <v>428</v>
      </c>
      <c r="E365" s="11" t="s">
        <v>20</v>
      </c>
      <c r="F365" s="10">
        <v>1</v>
      </c>
      <c r="G365" s="10"/>
      <c r="H365" s="11"/>
      <c r="I365" s="11"/>
      <c r="J365" s="11" t="s">
        <v>428</v>
      </c>
      <c r="K365" s="11" t="s">
        <v>21</v>
      </c>
      <c r="L365" s="11" t="s">
        <v>461</v>
      </c>
      <c r="M365" s="10"/>
      <c r="N365" s="10"/>
      <c r="O365" s="10"/>
      <c r="P365" s="10"/>
      <c r="Q365" s="13"/>
    </row>
    <row r="366" spans="1:17" ht="19.2" customHeight="1">
      <c r="A366" s="9" t="s">
        <v>462</v>
      </c>
      <c r="B366" s="10"/>
      <c r="C366" s="11" t="s">
        <v>463</v>
      </c>
      <c r="D366" s="11" t="s">
        <v>464</v>
      </c>
      <c r="E366" s="11" t="s">
        <v>20</v>
      </c>
      <c r="F366" s="10">
        <v>1</v>
      </c>
      <c r="G366" s="10"/>
      <c r="H366" s="11"/>
      <c r="I366" s="11"/>
      <c r="J366" s="11" t="s">
        <v>464</v>
      </c>
      <c r="K366" s="11" t="s">
        <v>21</v>
      </c>
      <c r="L366" s="11" t="s">
        <v>458</v>
      </c>
      <c r="M366" s="10"/>
      <c r="N366" s="10"/>
      <c r="O366" s="10"/>
      <c r="P366" s="10"/>
      <c r="Q366" s="13"/>
    </row>
    <row r="367" spans="1:17" ht="19.2" customHeight="1">
      <c r="A367" s="19" t="s">
        <v>465</v>
      </c>
      <c r="B367" s="10" t="str">
        <f>HYPERLINK("https://drive.google.com/file/d/1Ac4FcKtSkrsk6Cp-ljfqr5lH2g4J3d3z/view?usp=drivesdk","20260707_145342.jpg")</f>
        <v>20260707_145342.jpg</v>
      </c>
      <c r="C367" s="21" t="s">
        <v>466</v>
      </c>
      <c r="D367" s="21" t="s">
        <v>467</v>
      </c>
      <c r="E367" s="21" t="s">
        <v>20</v>
      </c>
      <c r="F367" s="23">
        <v>1</v>
      </c>
      <c r="G367" s="23"/>
      <c r="H367" s="21"/>
      <c r="I367" s="21"/>
      <c r="J367" s="21" t="s">
        <v>467</v>
      </c>
      <c r="K367" s="21" t="s">
        <v>21</v>
      </c>
      <c r="L367" s="21" t="s">
        <v>22</v>
      </c>
      <c r="M367" s="23"/>
      <c r="N367" s="23"/>
      <c r="O367" s="23"/>
      <c r="P367" s="23"/>
      <c r="Q367" s="27"/>
    </row>
    <row r="368" spans="1:17" ht="19.2" customHeight="1">
      <c r="A368" s="19"/>
      <c r="B368" s="10" t="str">
        <f>HYPERLINK("https://drive.google.com/file/d/1uekyBXkmz88xi2NZX1014LS0WGMsDFRJ/view?usp=drivesdk","20260707_145351.jpg")</f>
        <v>20260707_145351.jpg</v>
      </c>
      <c r="C368" s="21"/>
      <c r="D368" s="21"/>
      <c r="E368" s="21"/>
      <c r="F368" s="23"/>
      <c r="G368" s="23"/>
      <c r="H368" s="21"/>
      <c r="I368" s="21"/>
      <c r="J368" s="21"/>
      <c r="K368" s="21"/>
      <c r="L368" s="21"/>
      <c r="M368" s="23"/>
      <c r="N368" s="23"/>
      <c r="O368" s="23"/>
      <c r="P368" s="23"/>
      <c r="Q368" s="27"/>
    </row>
    <row r="369" spans="1:17" ht="19.2" customHeight="1">
      <c r="A369" s="19"/>
      <c r="B369" s="10" t="str">
        <f>HYPERLINK("https://drive.google.com/file/d/1yU_d8ABxmQcChXFF5MEl07N6wLpihsiB/view?usp=drivesdk","20260707_145359.jpg")</f>
        <v>20260707_145359.jpg</v>
      </c>
      <c r="C369" s="21"/>
      <c r="D369" s="21"/>
      <c r="E369" s="21"/>
      <c r="F369" s="23"/>
      <c r="G369" s="23"/>
      <c r="H369" s="21"/>
      <c r="I369" s="21"/>
      <c r="J369" s="21"/>
      <c r="K369" s="21"/>
      <c r="L369" s="21"/>
      <c r="M369" s="23"/>
      <c r="N369" s="23"/>
      <c r="O369" s="23"/>
      <c r="P369" s="23"/>
      <c r="Q369" s="27"/>
    </row>
    <row r="370" spans="1:17" ht="19.2" customHeight="1">
      <c r="A370" s="19"/>
      <c r="B370" s="10" t="str">
        <f>HYPERLINK("https://drive.google.com/file/d/1AL-ZGojKIacIS-ug_0HkNkSZh-sJx_cY/view?usp=drivesdk","20260707_145419.jpg")</f>
        <v>20260707_145419.jpg</v>
      </c>
      <c r="C370" s="21"/>
      <c r="D370" s="21"/>
      <c r="E370" s="21"/>
      <c r="F370" s="23"/>
      <c r="G370" s="23"/>
      <c r="H370" s="21"/>
      <c r="I370" s="21"/>
      <c r="J370" s="21"/>
      <c r="K370" s="21"/>
      <c r="L370" s="21"/>
      <c r="M370" s="23"/>
      <c r="N370" s="23"/>
      <c r="O370" s="23"/>
      <c r="P370" s="23"/>
      <c r="Q370" s="27"/>
    </row>
    <row r="371" spans="1:17" ht="19.2" customHeight="1">
      <c r="A371" s="19"/>
      <c r="B371" s="10" t="str">
        <f>HYPERLINK("https://drive.google.com/file/d/1Yt_B80ci4Fg4n1oV_b709wcFOn4kJpcV/view?usp=drivesdk","20260707_145435.jpg")</f>
        <v>20260707_145435.jpg</v>
      </c>
      <c r="C371" s="21"/>
      <c r="D371" s="21"/>
      <c r="E371" s="21"/>
      <c r="F371" s="23"/>
      <c r="G371" s="23"/>
      <c r="H371" s="21"/>
      <c r="I371" s="21"/>
      <c r="J371" s="21"/>
      <c r="K371" s="21"/>
      <c r="L371" s="21"/>
      <c r="M371" s="23"/>
      <c r="N371" s="23"/>
      <c r="O371" s="23"/>
      <c r="P371" s="23"/>
      <c r="Q371" s="27"/>
    </row>
    <row r="372" spans="1:17" ht="19.2" customHeight="1">
      <c r="A372" s="19"/>
      <c r="B372" s="10" t="str">
        <f>HYPERLINK("https://drive.google.com/file/d/1vsn-oKd2jI66HEI_V5Rm75TcisK3yXEw/view?usp=drivesdk","20260707_145450.jpg")</f>
        <v>20260707_145450.jpg</v>
      </c>
      <c r="C372" s="21"/>
      <c r="D372" s="21"/>
      <c r="E372" s="21"/>
      <c r="F372" s="23"/>
      <c r="G372" s="23"/>
      <c r="H372" s="21"/>
      <c r="I372" s="21"/>
      <c r="J372" s="21"/>
      <c r="K372" s="21"/>
      <c r="L372" s="21"/>
      <c r="M372" s="23"/>
      <c r="N372" s="23"/>
      <c r="O372" s="23"/>
      <c r="P372" s="23"/>
      <c r="Q372" s="27"/>
    </row>
    <row r="373" spans="1:17" ht="19.2" customHeight="1">
      <c r="A373" s="9" t="s">
        <v>468</v>
      </c>
      <c r="B373" s="10" t="str">
        <f>HYPERLINK("https://drive.google.com/file/d/1_d69mTmtwZcj-i2g9TfFv4SzRA1M7KbD/view?usp=drivesdk","20260707_181251.jpg")</f>
        <v>20260707_181251.jpg</v>
      </c>
      <c r="C373" s="11" t="s">
        <v>469</v>
      </c>
      <c r="D373" s="11" t="s">
        <v>470</v>
      </c>
      <c r="E373" s="11" t="s">
        <v>20</v>
      </c>
      <c r="F373" s="10">
        <v>1</v>
      </c>
      <c r="G373" s="10"/>
      <c r="H373" s="11"/>
      <c r="I373" s="11"/>
      <c r="J373" s="11" t="s">
        <v>470</v>
      </c>
      <c r="K373" s="11" t="s">
        <v>21</v>
      </c>
      <c r="L373" s="11" t="s">
        <v>22</v>
      </c>
      <c r="M373" s="10"/>
      <c r="N373" s="10"/>
      <c r="O373" s="10"/>
      <c r="P373" s="10"/>
      <c r="Q373" s="13"/>
    </row>
    <row r="374" spans="1:17" ht="19.2" customHeight="1">
      <c r="A374" s="9" t="s">
        <v>471</v>
      </c>
      <c r="B374" s="10"/>
      <c r="C374" s="11" t="s">
        <v>472</v>
      </c>
      <c r="D374" s="11" t="s">
        <v>470</v>
      </c>
      <c r="E374" s="11" t="s">
        <v>20</v>
      </c>
      <c r="F374" s="10">
        <v>1</v>
      </c>
      <c r="G374" s="10"/>
      <c r="H374" s="11"/>
      <c r="I374" s="11"/>
      <c r="J374" s="11" t="s">
        <v>470</v>
      </c>
      <c r="K374" s="11" t="s">
        <v>21</v>
      </c>
      <c r="L374" s="11" t="s">
        <v>157</v>
      </c>
      <c r="M374" s="10"/>
      <c r="N374" s="10"/>
      <c r="O374" s="10"/>
      <c r="P374" s="10"/>
      <c r="Q374" s="13"/>
    </row>
    <row r="375" spans="1:17" ht="19.2" customHeight="1">
      <c r="A375" s="9" t="s">
        <v>473</v>
      </c>
      <c r="B375" s="10"/>
      <c r="C375" s="11" t="s">
        <v>474</v>
      </c>
      <c r="D375" s="11" t="s">
        <v>470</v>
      </c>
      <c r="E375" s="11" t="s">
        <v>20</v>
      </c>
      <c r="F375" s="10">
        <v>1</v>
      </c>
      <c r="G375" s="10"/>
      <c r="H375" s="11"/>
      <c r="I375" s="11"/>
      <c r="J375" s="11" t="s">
        <v>470</v>
      </c>
      <c r="K375" s="11" t="s">
        <v>21</v>
      </c>
      <c r="L375" s="11" t="s">
        <v>26</v>
      </c>
      <c r="M375" s="10"/>
      <c r="N375" s="10"/>
      <c r="O375" s="10"/>
      <c r="P375" s="10"/>
      <c r="Q375" s="13"/>
    </row>
    <row r="376" spans="1:17" ht="19.2" customHeight="1">
      <c r="A376" s="9" t="s">
        <v>475</v>
      </c>
      <c r="B376" s="10"/>
      <c r="C376" s="11" t="s">
        <v>476</v>
      </c>
      <c r="D376" s="11" t="s">
        <v>477</v>
      </c>
      <c r="E376" s="11" t="s">
        <v>20</v>
      </c>
      <c r="F376" s="10">
        <v>1</v>
      </c>
      <c r="G376" s="10"/>
      <c r="H376" s="11"/>
      <c r="I376" s="11"/>
      <c r="J376" s="11" t="s">
        <v>477</v>
      </c>
      <c r="K376" s="11" t="s">
        <v>21</v>
      </c>
      <c r="L376" s="11" t="s">
        <v>26</v>
      </c>
      <c r="M376" s="10"/>
      <c r="N376" s="10"/>
      <c r="O376" s="10"/>
      <c r="P376" s="10"/>
      <c r="Q376" s="13"/>
    </row>
    <row r="377" spans="1:17" ht="19.2" customHeight="1">
      <c r="A377" s="9" t="s">
        <v>478</v>
      </c>
      <c r="B377" s="10"/>
      <c r="C377" s="11" t="s">
        <v>479</v>
      </c>
      <c r="D377" s="11" t="s">
        <v>477</v>
      </c>
      <c r="E377" s="11" t="s">
        <v>20</v>
      </c>
      <c r="F377" s="10">
        <v>1</v>
      </c>
      <c r="G377" s="10"/>
      <c r="H377" s="11"/>
      <c r="I377" s="11"/>
      <c r="J377" s="11" t="s">
        <v>477</v>
      </c>
      <c r="K377" s="11" t="s">
        <v>21</v>
      </c>
      <c r="L377" s="11" t="s">
        <v>26</v>
      </c>
      <c r="M377" s="10"/>
      <c r="N377" s="10"/>
      <c r="O377" s="10"/>
      <c r="P377" s="10"/>
      <c r="Q377" s="13"/>
    </row>
    <row r="378" spans="1:17" ht="19.2" customHeight="1">
      <c r="A378" s="9" t="s">
        <v>480</v>
      </c>
      <c r="B378" s="10"/>
      <c r="C378" s="11" t="s">
        <v>481</v>
      </c>
      <c r="D378" s="11" t="s">
        <v>482</v>
      </c>
      <c r="E378" s="11" t="s">
        <v>20</v>
      </c>
      <c r="F378" s="10">
        <v>1</v>
      </c>
      <c r="G378" s="10"/>
      <c r="H378" s="11"/>
      <c r="I378" s="11"/>
      <c r="J378" s="11" t="s">
        <v>482</v>
      </c>
      <c r="K378" s="11" t="s">
        <v>21</v>
      </c>
      <c r="L378" s="11" t="s">
        <v>157</v>
      </c>
      <c r="M378" s="10"/>
      <c r="N378" s="10"/>
      <c r="O378" s="10"/>
      <c r="P378" s="10"/>
      <c r="Q378" s="13"/>
    </row>
    <row r="379" spans="1:17" ht="19.2" customHeight="1">
      <c r="A379" s="9" t="s">
        <v>483</v>
      </c>
      <c r="B379" s="10"/>
      <c r="C379" s="11" t="s">
        <v>484</v>
      </c>
      <c r="D379" s="11" t="s">
        <v>484</v>
      </c>
      <c r="E379" s="11" t="s">
        <v>20</v>
      </c>
      <c r="F379" s="10">
        <v>11</v>
      </c>
      <c r="G379" s="10"/>
      <c r="H379" s="11">
        <v>0</v>
      </c>
      <c r="I379" s="11"/>
      <c r="J379" s="11" t="s">
        <v>484</v>
      </c>
      <c r="K379" s="11" t="s">
        <v>21</v>
      </c>
      <c r="L379" s="11" t="s">
        <v>26</v>
      </c>
      <c r="M379" s="10"/>
      <c r="N379" s="10"/>
      <c r="O379" s="10"/>
      <c r="P379" s="10"/>
      <c r="Q379" s="13"/>
    </row>
    <row r="380" spans="1:17" ht="19.2" customHeight="1">
      <c r="A380" s="9" t="s">
        <v>485</v>
      </c>
      <c r="B380" s="10"/>
      <c r="C380" s="11" t="s">
        <v>486</v>
      </c>
      <c r="D380" s="11" t="s">
        <v>487</v>
      </c>
      <c r="E380" s="11" t="s">
        <v>20</v>
      </c>
      <c r="F380" s="10">
        <v>4</v>
      </c>
      <c r="G380" s="10"/>
      <c r="H380" s="11"/>
      <c r="I380" s="11"/>
      <c r="J380" s="11" t="s">
        <v>487</v>
      </c>
      <c r="K380" s="11" t="s">
        <v>21</v>
      </c>
      <c r="L380" s="11" t="s">
        <v>157</v>
      </c>
      <c r="M380" s="10"/>
      <c r="N380" s="10"/>
      <c r="O380" s="10"/>
      <c r="P380" s="10"/>
      <c r="Q380" s="13"/>
    </row>
    <row r="381" spans="1:17" ht="19.2" customHeight="1">
      <c r="A381" s="9" t="s">
        <v>488</v>
      </c>
      <c r="B381" s="10"/>
      <c r="C381" s="11" t="s">
        <v>489</v>
      </c>
      <c r="D381" s="11" t="s">
        <v>489</v>
      </c>
      <c r="E381" s="11" t="s">
        <v>20</v>
      </c>
      <c r="F381" s="10">
        <v>4</v>
      </c>
      <c r="G381" s="10"/>
      <c r="H381" s="11"/>
      <c r="I381" s="11"/>
      <c r="J381" s="11" t="s">
        <v>489</v>
      </c>
      <c r="K381" s="11" t="s">
        <v>21</v>
      </c>
      <c r="L381" s="11" t="s">
        <v>157</v>
      </c>
      <c r="M381" s="10"/>
      <c r="N381" s="10"/>
      <c r="O381" s="10"/>
      <c r="P381" s="10"/>
      <c r="Q381" s="13"/>
    </row>
    <row r="382" spans="1:17" ht="19.2" customHeight="1">
      <c r="A382" s="19" t="s">
        <v>490</v>
      </c>
      <c r="B382" s="10" t="str">
        <f>HYPERLINK("https://drive.google.com/file/d/1VCmkIWOcRlaobbBH1uKEex4vMJC5Qng5/view?usp=drivesdk","20260707_134210.jpg")</f>
        <v>20260707_134210.jpg</v>
      </c>
      <c r="C382" s="21" t="s">
        <v>491</v>
      </c>
      <c r="D382" s="21" t="s">
        <v>391</v>
      </c>
      <c r="E382" s="21" t="s">
        <v>20</v>
      </c>
      <c r="F382" s="23">
        <v>2</v>
      </c>
      <c r="G382" s="23"/>
      <c r="H382" s="21"/>
      <c r="I382" s="21"/>
      <c r="J382" s="21" t="s">
        <v>391</v>
      </c>
      <c r="K382" s="21" t="s">
        <v>21</v>
      </c>
      <c r="L382" s="21" t="s">
        <v>492</v>
      </c>
      <c r="M382" s="23"/>
      <c r="N382" s="23"/>
      <c r="O382" s="23"/>
      <c r="P382" s="23"/>
      <c r="Q382" s="27"/>
    </row>
    <row r="383" spans="1:17" ht="19.2" customHeight="1">
      <c r="A383" s="19"/>
      <c r="B383" s="10" t="str">
        <f>HYPERLINK("https://drive.google.com/file/d/1dmoEvYBJ9wJ3R6H0CrkaBSIO1lKQJRon/view?usp=drivesdk","20260707_134217.jpg")</f>
        <v>20260707_134217.jpg</v>
      </c>
      <c r="C383" s="21"/>
      <c r="D383" s="21"/>
      <c r="E383" s="21"/>
      <c r="F383" s="23"/>
      <c r="G383" s="23"/>
      <c r="H383" s="21"/>
      <c r="I383" s="21"/>
      <c r="J383" s="21"/>
      <c r="K383" s="21"/>
      <c r="L383" s="21"/>
      <c r="M383" s="23"/>
      <c r="N383" s="23"/>
      <c r="O383" s="23"/>
      <c r="P383" s="23"/>
      <c r="Q383" s="27"/>
    </row>
    <row r="384" spans="1:17" ht="19.2" customHeight="1">
      <c r="A384" s="19"/>
      <c r="B384" s="10" t="str">
        <f>HYPERLINK("https://drive.google.com/file/d/1Ok-5XtFNjsDm4moZtQAiPjnXy8DW6Rsb/view?usp=drivesdk","20260707_134232.jpg")</f>
        <v>20260707_134232.jpg</v>
      </c>
      <c r="C384" s="21"/>
      <c r="D384" s="21"/>
      <c r="E384" s="21"/>
      <c r="F384" s="23"/>
      <c r="G384" s="23"/>
      <c r="H384" s="21"/>
      <c r="I384" s="21"/>
      <c r="J384" s="21"/>
      <c r="K384" s="21"/>
      <c r="L384" s="21"/>
      <c r="M384" s="23"/>
      <c r="N384" s="23"/>
      <c r="O384" s="23"/>
      <c r="P384" s="23"/>
      <c r="Q384" s="27"/>
    </row>
    <row r="385" spans="1:17" ht="19.2" customHeight="1">
      <c r="A385" s="19"/>
      <c r="B385" s="10" t="str">
        <f>HYPERLINK("https://drive.google.com/file/d/1bBZg0GHJad4_CNHotaF1I7hsnm4yj5dA/view?usp=drivesdk","20260707_134321.jpg")</f>
        <v>20260707_134321.jpg</v>
      </c>
      <c r="C385" s="21"/>
      <c r="D385" s="21"/>
      <c r="E385" s="21"/>
      <c r="F385" s="23"/>
      <c r="G385" s="23"/>
      <c r="H385" s="21"/>
      <c r="I385" s="21"/>
      <c r="J385" s="21"/>
      <c r="K385" s="21"/>
      <c r="L385" s="21"/>
      <c r="M385" s="23"/>
      <c r="N385" s="23"/>
      <c r="O385" s="23"/>
      <c r="P385" s="23"/>
      <c r="Q385" s="27"/>
    </row>
    <row r="386" spans="1:17" ht="19.2" customHeight="1">
      <c r="A386" s="19"/>
      <c r="B386" s="10" t="str">
        <f>HYPERLINK("https://drive.google.com/file/d/1vo765kiEXuh8_iQid57dHH_XaQIXDL20/view?usp=drivesdk","20260707_134327.jpg")</f>
        <v>20260707_134327.jpg</v>
      </c>
      <c r="C386" s="21"/>
      <c r="D386" s="21"/>
      <c r="E386" s="21"/>
      <c r="F386" s="23"/>
      <c r="G386" s="23"/>
      <c r="H386" s="21"/>
      <c r="I386" s="21"/>
      <c r="J386" s="21"/>
      <c r="K386" s="21"/>
      <c r="L386" s="21"/>
      <c r="M386" s="23"/>
      <c r="N386" s="23"/>
      <c r="O386" s="23"/>
      <c r="P386" s="23"/>
      <c r="Q386" s="27"/>
    </row>
    <row r="387" spans="1:17" ht="19.2" customHeight="1">
      <c r="A387" s="19"/>
      <c r="B387" s="10" t="str">
        <f>HYPERLINK("https://drive.google.com/file/d/1EAoZe4KeT9L_8XEFOdW8OXJTkZavOlzC/view?usp=drivesdk","20260707_134335.jpg")</f>
        <v>20260707_134335.jpg</v>
      </c>
      <c r="C387" s="21"/>
      <c r="D387" s="21"/>
      <c r="E387" s="21"/>
      <c r="F387" s="23"/>
      <c r="G387" s="23"/>
      <c r="H387" s="21"/>
      <c r="I387" s="21"/>
      <c r="J387" s="21"/>
      <c r="K387" s="21"/>
      <c r="L387" s="21"/>
      <c r="M387" s="23"/>
      <c r="N387" s="23"/>
      <c r="O387" s="23"/>
      <c r="P387" s="23"/>
      <c r="Q387" s="27"/>
    </row>
    <row r="388" spans="1:17" ht="19.2" customHeight="1">
      <c r="A388" s="19"/>
      <c r="B388" s="10" t="str">
        <f>HYPERLINK("https://drive.google.com/file/d/14EUb7HfwG-Hboh2wPXilQUWARQqqlY1z/view?usp=drivesdk","20260707_134611.jpg")</f>
        <v>20260707_134611.jpg</v>
      </c>
      <c r="C388" s="21"/>
      <c r="D388" s="21"/>
      <c r="E388" s="21"/>
      <c r="F388" s="23"/>
      <c r="G388" s="23"/>
      <c r="H388" s="21"/>
      <c r="I388" s="21"/>
      <c r="J388" s="21"/>
      <c r="K388" s="21"/>
      <c r="L388" s="21"/>
      <c r="M388" s="23"/>
      <c r="N388" s="23"/>
      <c r="O388" s="23"/>
      <c r="P388" s="23"/>
      <c r="Q388" s="27"/>
    </row>
    <row r="389" spans="1:17" ht="19.2" customHeight="1">
      <c r="A389" s="19"/>
      <c r="B389" s="10" t="str">
        <f>HYPERLINK("https://drive.google.com/file/d/1TY0MiHPi-xGFOErBmDSwUc3-A7m35TCU/view?usp=drivesdk","20260707_134622.jpg")</f>
        <v>20260707_134622.jpg</v>
      </c>
      <c r="C389" s="21"/>
      <c r="D389" s="21"/>
      <c r="E389" s="21"/>
      <c r="F389" s="23"/>
      <c r="G389" s="23"/>
      <c r="H389" s="21"/>
      <c r="I389" s="21"/>
      <c r="J389" s="21"/>
      <c r="K389" s="21"/>
      <c r="L389" s="21"/>
      <c r="M389" s="23"/>
      <c r="N389" s="23"/>
      <c r="O389" s="23"/>
      <c r="P389" s="23"/>
      <c r="Q389" s="27"/>
    </row>
    <row r="390" spans="1:17" ht="19.2" customHeight="1">
      <c r="A390" s="19"/>
      <c r="B390" s="10" t="str">
        <f>HYPERLINK("https://drive.google.com/file/d/1ddE_VHC1itshXb4ptwJ9GbuNBn5VDup8/view?usp=drivesdk","20260707_134629.jpg")</f>
        <v>20260707_134629.jpg</v>
      </c>
      <c r="C390" s="21"/>
      <c r="D390" s="21"/>
      <c r="E390" s="21"/>
      <c r="F390" s="23"/>
      <c r="G390" s="23"/>
      <c r="H390" s="21"/>
      <c r="I390" s="21"/>
      <c r="J390" s="21"/>
      <c r="K390" s="21"/>
      <c r="L390" s="21"/>
      <c r="M390" s="23"/>
      <c r="N390" s="23"/>
      <c r="O390" s="23"/>
      <c r="P390" s="23"/>
      <c r="Q390" s="27"/>
    </row>
    <row r="391" spans="1:17" ht="19.2" customHeight="1">
      <c r="A391" s="9" t="s">
        <v>493</v>
      </c>
      <c r="B391" s="10"/>
      <c r="C391" s="11" t="s">
        <v>494</v>
      </c>
      <c r="D391" s="11" t="s">
        <v>391</v>
      </c>
      <c r="E391" s="11" t="s">
        <v>20</v>
      </c>
      <c r="F391" s="10">
        <v>1</v>
      </c>
      <c r="G391" s="10"/>
      <c r="H391" s="11"/>
      <c r="I391" s="11"/>
      <c r="J391" s="11" t="s">
        <v>391</v>
      </c>
      <c r="K391" s="11" t="s">
        <v>21</v>
      </c>
      <c r="L391" s="11" t="s">
        <v>157</v>
      </c>
      <c r="M391" s="10"/>
      <c r="N391" s="10"/>
      <c r="O391" s="10"/>
      <c r="P391" s="10"/>
      <c r="Q391" s="13"/>
    </row>
    <row r="392" spans="1:17" ht="19.2" customHeight="1">
      <c r="A392" s="9" t="s">
        <v>495</v>
      </c>
      <c r="B392" s="10"/>
      <c r="C392" s="11" t="s">
        <v>496</v>
      </c>
      <c r="D392" s="11" t="s">
        <v>391</v>
      </c>
      <c r="E392" s="11" t="s">
        <v>20</v>
      </c>
      <c r="F392" s="10">
        <v>1</v>
      </c>
      <c r="G392" s="10"/>
      <c r="H392" s="11"/>
      <c r="I392" s="11"/>
      <c r="J392" s="11" t="s">
        <v>391</v>
      </c>
      <c r="K392" s="11" t="s">
        <v>21</v>
      </c>
      <c r="L392" s="11" t="s">
        <v>157</v>
      </c>
      <c r="M392" s="10"/>
      <c r="N392" s="10"/>
      <c r="O392" s="10"/>
      <c r="P392" s="10"/>
      <c r="Q392" s="13"/>
    </row>
    <row r="393" spans="1:17" ht="19.2" customHeight="1">
      <c r="A393" s="9" t="s">
        <v>497</v>
      </c>
      <c r="B393" s="10"/>
      <c r="C393" s="11" t="s">
        <v>498</v>
      </c>
      <c r="D393" s="11" t="s">
        <v>499</v>
      </c>
      <c r="E393" s="11" t="s">
        <v>20</v>
      </c>
      <c r="F393" s="10">
        <v>61</v>
      </c>
      <c r="G393" s="10"/>
      <c r="H393" s="11"/>
      <c r="I393" s="11"/>
      <c r="J393" s="11" t="s">
        <v>499</v>
      </c>
      <c r="K393" s="11" t="s">
        <v>21</v>
      </c>
      <c r="L393" s="11" t="s">
        <v>26</v>
      </c>
      <c r="M393" s="10"/>
      <c r="N393" s="10"/>
      <c r="O393" s="10"/>
      <c r="P393" s="10"/>
      <c r="Q393" s="13"/>
    </row>
    <row r="394" spans="1:17" ht="19.2" customHeight="1">
      <c r="A394" s="19" t="s">
        <v>500</v>
      </c>
      <c r="B394" s="10" t="str">
        <f>HYPERLINK("https://drive.google.com/file/d/1FHrout4IU4oHFsY-ESlvC89AEkoPY1mV/view?usp=drivesdk","20260707_134133.jpg")</f>
        <v>20260707_134133.jpg</v>
      </c>
      <c r="C394" s="21" t="s">
        <v>501</v>
      </c>
      <c r="D394" s="21" t="s">
        <v>499</v>
      </c>
      <c r="E394" s="21" t="s">
        <v>20</v>
      </c>
      <c r="F394" s="23">
        <v>24</v>
      </c>
      <c r="G394" s="23"/>
      <c r="H394" s="21"/>
      <c r="I394" s="21"/>
      <c r="J394" s="21" t="s">
        <v>499</v>
      </c>
      <c r="K394" s="21" t="s">
        <v>21</v>
      </c>
      <c r="L394" s="21" t="s">
        <v>22</v>
      </c>
      <c r="M394" s="23"/>
      <c r="N394" s="23"/>
      <c r="O394" s="23"/>
      <c r="P394" s="23"/>
      <c r="Q394" s="27"/>
    </row>
    <row r="395" spans="1:17" ht="19.2" customHeight="1">
      <c r="A395" s="19"/>
      <c r="B395" s="10" t="str">
        <f>HYPERLINK("https://drive.google.com/file/d/1mPQMrOLVO6cYkGdPVo7xJnj_CKuH_FaC/view?usp=drivesdk","20260707_134139.jpg")</f>
        <v>20260707_134139.jpg</v>
      </c>
      <c r="C395" s="21"/>
      <c r="D395" s="21"/>
      <c r="E395" s="21"/>
      <c r="F395" s="23"/>
      <c r="G395" s="23"/>
      <c r="H395" s="21"/>
      <c r="I395" s="21"/>
      <c r="J395" s="21"/>
      <c r="K395" s="21"/>
      <c r="L395" s="21"/>
      <c r="M395" s="23"/>
      <c r="N395" s="23"/>
      <c r="O395" s="23"/>
      <c r="P395" s="23"/>
      <c r="Q395" s="27"/>
    </row>
    <row r="396" spans="1:17" ht="19.2" customHeight="1">
      <c r="A396" s="19" t="s">
        <v>502</v>
      </c>
      <c r="B396" s="10" t="str">
        <f>HYPERLINK("https://drive.google.com/file/d/1yzXIiaxMwB_jqGon4EBwAVL75zSJ16P_/view?usp=drivesdk","20260707_134042.jpg")</f>
        <v>20260707_134042.jpg</v>
      </c>
      <c r="C396" s="21" t="s">
        <v>503</v>
      </c>
      <c r="D396" s="21" t="s">
        <v>499</v>
      </c>
      <c r="E396" s="21" t="s">
        <v>20</v>
      </c>
      <c r="F396" s="23">
        <v>94</v>
      </c>
      <c r="G396" s="23"/>
      <c r="H396" s="21"/>
      <c r="I396" s="21"/>
      <c r="J396" s="21" t="s">
        <v>499</v>
      </c>
      <c r="K396" s="21" t="s">
        <v>21</v>
      </c>
      <c r="L396" s="21" t="s">
        <v>504</v>
      </c>
      <c r="M396" s="23"/>
      <c r="N396" s="23"/>
      <c r="O396" s="23"/>
      <c r="P396" s="23"/>
      <c r="Q396" s="27"/>
    </row>
    <row r="397" spans="1:17" ht="19.2" customHeight="1">
      <c r="A397" s="19"/>
      <c r="B397" s="10" t="str">
        <f>HYPERLINK("https://drive.google.com/file/d/17P_CJju7z-61bNxYDL4G3-sHRolr0Ea7/view?usp=drivesdk","20260707_134050.jpg")</f>
        <v>20260707_134050.jpg</v>
      </c>
      <c r="C397" s="21"/>
      <c r="D397" s="21"/>
      <c r="E397" s="21"/>
      <c r="F397" s="23"/>
      <c r="G397" s="23"/>
      <c r="H397" s="21"/>
      <c r="I397" s="21"/>
      <c r="J397" s="21"/>
      <c r="K397" s="21"/>
      <c r="L397" s="21"/>
      <c r="M397" s="23"/>
      <c r="N397" s="23"/>
      <c r="O397" s="23"/>
      <c r="P397" s="23"/>
      <c r="Q397" s="27"/>
    </row>
    <row r="398" spans="1:17" ht="19.2" customHeight="1">
      <c r="A398" s="19"/>
      <c r="B398" s="10" t="str">
        <f>HYPERLINK("https://drive.google.com/file/d/1ZKzMviMSjk_cAdLBnlBm1GQtMcDWKFgQ/view?usp=drivesdk","20260707_134123.jpg")</f>
        <v>20260707_134123.jpg</v>
      </c>
      <c r="C398" s="21"/>
      <c r="D398" s="21"/>
      <c r="E398" s="21"/>
      <c r="F398" s="23"/>
      <c r="G398" s="23"/>
      <c r="H398" s="21"/>
      <c r="I398" s="21"/>
      <c r="J398" s="21"/>
      <c r="K398" s="21"/>
      <c r="L398" s="21"/>
      <c r="M398" s="23"/>
      <c r="N398" s="23"/>
      <c r="O398" s="23"/>
      <c r="P398" s="23"/>
      <c r="Q398" s="27"/>
    </row>
    <row r="399" spans="1:17" ht="19.2" customHeight="1">
      <c r="A399" s="19" t="s">
        <v>505</v>
      </c>
      <c r="B399" s="10" t="str">
        <f>HYPERLINK("https://drive.google.com/file/d/1psfsI7t5scLsyl8A48vYZGcWcct7ImZJ/view?usp=drivesdk","20260707_134005.jpg")</f>
        <v>20260707_134005.jpg</v>
      </c>
      <c r="C399" s="21" t="s">
        <v>506</v>
      </c>
      <c r="D399" s="21" t="s">
        <v>499</v>
      </c>
      <c r="E399" s="21" t="s">
        <v>20</v>
      </c>
      <c r="F399" s="23">
        <v>81</v>
      </c>
      <c r="G399" s="23"/>
      <c r="H399" s="21"/>
      <c r="I399" s="21"/>
      <c r="J399" s="21" t="s">
        <v>499</v>
      </c>
      <c r="K399" s="21" t="s">
        <v>21</v>
      </c>
      <c r="L399" s="21" t="s">
        <v>22</v>
      </c>
      <c r="M399" s="23"/>
      <c r="N399" s="23"/>
      <c r="O399" s="23"/>
      <c r="P399" s="23"/>
      <c r="Q399" s="27"/>
    </row>
    <row r="400" spans="1:17" ht="19.2" customHeight="1">
      <c r="A400" s="19"/>
      <c r="B400" s="10" t="str">
        <f>HYPERLINK("https://drive.google.com/file/d/1g5RFGs8VLKZY7hVFWZDNhzattotANgBM/view?usp=drivesdk","20260707_134012.jpg")</f>
        <v>20260707_134012.jpg</v>
      </c>
      <c r="C400" s="21"/>
      <c r="D400" s="21"/>
      <c r="E400" s="21"/>
      <c r="F400" s="23"/>
      <c r="G400" s="23"/>
      <c r="H400" s="21"/>
      <c r="I400" s="21"/>
      <c r="J400" s="21"/>
      <c r="K400" s="21"/>
      <c r="L400" s="21"/>
      <c r="M400" s="23"/>
      <c r="N400" s="23"/>
      <c r="O400" s="23"/>
      <c r="P400" s="23"/>
      <c r="Q400" s="27"/>
    </row>
    <row r="401" spans="1:17" ht="19.2" customHeight="1">
      <c r="A401" s="19"/>
      <c r="B401" s="10" t="str">
        <f>HYPERLINK("https://drive.google.com/file/d/1Ne4e-GOIEPFq1gbyw9tB2rCP1LBP33eY/view?usp=drivesdk","20260707_134018.jpg")</f>
        <v>20260707_134018.jpg</v>
      </c>
      <c r="C401" s="21"/>
      <c r="D401" s="21"/>
      <c r="E401" s="21"/>
      <c r="F401" s="23"/>
      <c r="G401" s="23"/>
      <c r="H401" s="21"/>
      <c r="I401" s="21"/>
      <c r="J401" s="21"/>
      <c r="K401" s="21"/>
      <c r="L401" s="21"/>
      <c r="M401" s="23"/>
      <c r="N401" s="23"/>
      <c r="O401" s="23"/>
      <c r="P401" s="23"/>
      <c r="Q401" s="27"/>
    </row>
    <row r="402" spans="1:17" ht="19.2" customHeight="1">
      <c r="A402" s="19"/>
      <c r="B402" s="10" t="str">
        <f>HYPERLINK("https://drive.google.com/file/d/17TbJZLGAOxpjf1_P50d0bVq4sCqr2TeH/view?usp=drivesdk","20260707_134034.jpg")</f>
        <v>20260707_134034.jpg</v>
      </c>
      <c r="C402" s="21"/>
      <c r="D402" s="21"/>
      <c r="E402" s="21"/>
      <c r="F402" s="23"/>
      <c r="G402" s="23"/>
      <c r="H402" s="21"/>
      <c r="I402" s="21"/>
      <c r="J402" s="21"/>
      <c r="K402" s="21"/>
      <c r="L402" s="21"/>
      <c r="M402" s="23"/>
      <c r="N402" s="23"/>
      <c r="O402" s="23"/>
      <c r="P402" s="23"/>
      <c r="Q402" s="27"/>
    </row>
    <row r="403" spans="1:17" ht="19.2" customHeight="1">
      <c r="A403" s="9" t="s">
        <v>507</v>
      </c>
      <c r="B403" s="10"/>
      <c r="C403" s="11" t="s">
        <v>508</v>
      </c>
      <c r="D403" s="11" t="s">
        <v>499</v>
      </c>
      <c r="E403" s="11" t="s">
        <v>20</v>
      </c>
      <c r="F403" s="10">
        <v>18</v>
      </c>
      <c r="G403" s="10"/>
      <c r="H403" s="11"/>
      <c r="I403" s="11"/>
      <c r="J403" s="11" t="s">
        <v>499</v>
      </c>
      <c r="K403" s="11" t="s">
        <v>21</v>
      </c>
      <c r="L403" s="11" t="s">
        <v>26</v>
      </c>
      <c r="M403" s="10"/>
      <c r="N403" s="10"/>
      <c r="O403" s="10"/>
      <c r="P403" s="10"/>
      <c r="Q403" s="13"/>
    </row>
    <row r="404" spans="1:17" ht="19.2" customHeight="1">
      <c r="A404" s="9" t="s">
        <v>509</v>
      </c>
      <c r="B404" s="10"/>
      <c r="C404" s="11" t="s">
        <v>510</v>
      </c>
      <c r="D404" s="11" t="s">
        <v>499</v>
      </c>
      <c r="E404" s="11" t="s">
        <v>20</v>
      </c>
      <c r="F404" s="10">
        <v>3</v>
      </c>
      <c r="G404" s="10"/>
      <c r="H404" s="11"/>
      <c r="I404" s="11"/>
      <c r="J404" s="11" t="s">
        <v>499</v>
      </c>
      <c r="K404" s="11" t="s">
        <v>21</v>
      </c>
      <c r="L404" s="11" t="s">
        <v>26</v>
      </c>
      <c r="M404" s="10"/>
      <c r="N404" s="10"/>
      <c r="O404" s="10"/>
      <c r="P404" s="10"/>
      <c r="Q404" s="13"/>
    </row>
    <row r="405" spans="1:17" ht="19.2" customHeight="1">
      <c r="A405" s="9" t="s">
        <v>511</v>
      </c>
      <c r="B405" s="10"/>
      <c r="C405" s="11" t="s">
        <v>512</v>
      </c>
      <c r="D405" s="11" t="s">
        <v>499</v>
      </c>
      <c r="E405" s="11" t="s">
        <v>20</v>
      </c>
      <c r="F405" s="10">
        <v>1</v>
      </c>
      <c r="G405" s="10"/>
      <c r="H405" s="11"/>
      <c r="I405" s="11"/>
      <c r="J405" s="11" t="s">
        <v>499</v>
      </c>
      <c r="K405" s="11" t="s">
        <v>21</v>
      </c>
      <c r="L405" s="11" t="s">
        <v>26</v>
      </c>
      <c r="M405" s="10"/>
      <c r="N405" s="10"/>
      <c r="O405" s="10"/>
      <c r="P405" s="10"/>
      <c r="Q405" s="13"/>
    </row>
    <row r="406" spans="1:17" ht="19.2" customHeight="1">
      <c r="A406" s="9" t="s">
        <v>513</v>
      </c>
      <c r="B406" s="10"/>
      <c r="C406" s="11" t="s">
        <v>514</v>
      </c>
      <c r="D406" s="11" t="s">
        <v>499</v>
      </c>
      <c r="E406" s="11" t="s">
        <v>20</v>
      </c>
      <c r="F406" s="10">
        <v>3</v>
      </c>
      <c r="G406" s="10"/>
      <c r="H406" s="11"/>
      <c r="I406" s="11"/>
      <c r="J406" s="11" t="s">
        <v>499</v>
      </c>
      <c r="K406" s="11" t="s">
        <v>21</v>
      </c>
      <c r="L406" s="11" t="s">
        <v>26</v>
      </c>
      <c r="M406" s="10"/>
      <c r="N406" s="10"/>
      <c r="O406" s="10"/>
      <c r="P406" s="10"/>
      <c r="Q406" s="13"/>
    </row>
    <row r="407" spans="1:17" ht="19.2" customHeight="1">
      <c r="A407" s="9" t="s">
        <v>515</v>
      </c>
      <c r="B407" s="10"/>
      <c r="C407" s="11" t="s">
        <v>516</v>
      </c>
      <c r="D407" s="11" t="s">
        <v>499</v>
      </c>
      <c r="E407" s="11" t="s">
        <v>20</v>
      </c>
      <c r="F407" s="10">
        <v>2</v>
      </c>
      <c r="G407" s="10"/>
      <c r="H407" s="11"/>
      <c r="I407" s="11"/>
      <c r="J407" s="11" t="s">
        <v>499</v>
      </c>
      <c r="K407" s="11" t="s">
        <v>21</v>
      </c>
      <c r="L407" s="11" t="s">
        <v>157</v>
      </c>
      <c r="M407" s="10"/>
      <c r="N407" s="10"/>
      <c r="O407" s="10"/>
      <c r="P407" s="10"/>
      <c r="Q407" s="13"/>
    </row>
    <row r="408" spans="1:17" ht="19.2" customHeight="1">
      <c r="A408" s="9" t="s">
        <v>517</v>
      </c>
      <c r="B408" s="10"/>
      <c r="C408" s="11" t="s">
        <v>518</v>
      </c>
      <c r="D408" s="11" t="s">
        <v>499</v>
      </c>
      <c r="E408" s="11" t="s">
        <v>20</v>
      </c>
      <c r="F408" s="10">
        <v>4</v>
      </c>
      <c r="G408" s="10"/>
      <c r="H408" s="11"/>
      <c r="I408" s="11"/>
      <c r="J408" s="11" t="s">
        <v>499</v>
      </c>
      <c r="K408" s="11" t="s">
        <v>21</v>
      </c>
      <c r="L408" s="11" t="s">
        <v>26</v>
      </c>
      <c r="M408" s="10"/>
      <c r="N408" s="10"/>
      <c r="O408" s="10"/>
      <c r="P408" s="10"/>
      <c r="Q408" s="13"/>
    </row>
    <row r="409" spans="1:17" ht="19.2" customHeight="1">
      <c r="A409" s="9" t="s">
        <v>519</v>
      </c>
      <c r="B409" s="10"/>
      <c r="C409" s="11" t="s">
        <v>520</v>
      </c>
      <c r="D409" s="11" t="s">
        <v>499</v>
      </c>
      <c r="E409" s="11" t="s">
        <v>20</v>
      </c>
      <c r="F409" s="10">
        <v>2</v>
      </c>
      <c r="G409" s="10"/>
      <c r="H409" s="11"/>
      <c r="I409" s="11"/>
      <c r="J409" s="11" t="s">
        <v>499</v>
      </c>
      <c r="K409" s="11" t="s">
        <v>21</v>
      </c>
      <c r="L409" s="11" t="s">
        <v>157</v>
      </c>
      <c r="M409" s="10"/>
      <c r="N409" s="10"/>
      <c r="O409" s="10"/>
      <c r="P409" s="10"/>
      <c r="Q409" s="13"/>
    </row>
    <row r="410" spans="1:17" ht="19.2" customHeight="1">
      <c r="A410" s="19" t="s">
        <v>521</v>
      </c>
      <c r="B410" s="10" t="str">
        <f>HYPERLINK("https://drive.google.com/file/d/1IiXnDVJL2Q9D4piWJMEHx-3vMUtxQt54/view?usp=drivesdk","20260707_133847.jpg")</f>
        <v>20260707_133847.jpg</v>
      </c>
      <c r="C410" s="21" t="s">
        <v>522</v>
      </c>
      <c r="D410" s="21" t="s">
        <v>499</v>
      </c>
      <c r="E410" s="21" t="s">
        <v>20</v>
      </c>
      <c r="F410" s="23">
        <v>174</v>
      </c>
      <c r="G410" s="23"/>
      <c r="H410" s="21"/>
      <c r="I410" s="21"/>
      <c r="J410" s="21" t="s">
        <v>499</v>
      </c>
      <c r="K410" s="21" t="s">
        <v>21</v>
      </c>
      <c r="L410" s="21" t="s">
        <v>22</v>
      </c>
      <c r="M410" s="23"/>
      <c r="N410" s="23"/>
      <c r="O410" s="23"/>
      <c r="P410" s="23"/>
      <c r="Q410" s="27"/>
    </row>
    <row r="411" spans="1:17" ht="19.2" customHeight="1">
      <c r="A411" s="19"/>
      <c r="B411" s="10" t="str">
        <f>HYPERLINK("https://drive.google.com/file/d/1PAS3KXwMHo0O6usVOMJ_jropbNANo2gi/view?usp=drivesdk","20260707_133854.jpg")</f>
        <v>20260707_133854.jpg</v>
      </c>
      <c r="C411" s="21"/>
      <c r="D411" s="21"/>
      <c r="E411" s="21"/>
      <c r="F411" s="23"/>
      <c r="G411" s="23"/>
      <c r="H411" s="21"/>
      <c r="I411" s="21"/>
      <c r="J411" s="21"/>
      <c r="K411" s="21"/>
      <c r="L411" s="21"/>
      <c r="M411" s="23"/>
      <c r="N411" s="23"/>
      <c r="O411" s="23"/>
      <c r="P411" s="23"/>
      <c r="Q411" s="27"/>
    </row>
    <row r="412" spans="1:17" ht="19.2" customHeight="1">
      <c r="A412" s="19" t="s">
        <v>523</v>
      </c>
      <c r="B412" s="10" t="str">
        <f>HYPERLINK("https://drive.google.com/file/d/1ZQHjq-7xjUoBgT27RoIrevoW9dC9S1RJ/view?usp=drivesdk","20260707_133924.jpg")</f>
        <v>20260707_133924.jpg</v>
      </c>
      <c r="C412" s="21" t="s">
        <v>524</v>
      </c>
      <c r="D412" s="21" t="s">
        <v>499</v>
      </c>
      <c r="E412" s="21" t="s">
        <v>20</v>
      </c>
      <c r="F412" s="23">
        <v>28</v>
      </c>
      <c r="G412" s="23"/>
      <c r="H412" s="21"/>
      <c r="I412" s="21"/>
      <c r="J412" s="21" t="s">
        <v>499</v>
      </c>
      <c r="K412" s="21" t="s">
        <v>21</v>
      </c>
      <c r="L412" s="21" t="s">
        <v>157</v>
      </c>
      <c r="M412" s="23"/>
      <c r="N412" s="23"/>
      <c r="O412" s="23"/>
      <c r="P412" s="23"/>
      <c r="Q412" s="27"/>
    </row>
    <row r="413" spans="1:17" ht="19.2" customHeight="1">
      <c r="A413" s="19"/>
      <c r="B413" s="10" t="str">
        <f>HYPERLINK("https://drive.google.com/file/d/1-lX8epeOfoX-TpVOkGKJBen2DnnOH_Yf/view?usp=drivesdk","20260707_133931.jpg")</f>
        <v>20260707_133931.jpg</v>
      </c>
      <c r="C413" s="21"/>
      <c r="D413" s="21"/>
      <c r="E413" s="21"/>
      <c r="F413" s="23"/>
      <c r="G413" s="23"/>
      <c r="H413" s="21"/>
      <c r="I413" s="21"/>
      <c r="J413" s="21"/>
      <c r="K413" s="21"/>
      <c r="L413" s="21"/>
      <c r="M413" s="23"/>
      <c r="N413" s="23"/>
      <c r="O413" s="23"/>
      <c r="P413" s="23"/>
      <c r="Q413" s="27"/>
    </row>
    <row r="414" spans="1:17" ht="19.2" customHeight="1">
      <c r="A414" s="9" t="s">
        <v>525</v>
      </c>
      <c r="B414" s="10"/>
      <c r="C414" s="11" t="s">
        <v>526</v>
      </c>
      <c r="D414" s="11" t="s">
        <v>526</v>
      </c>
      <c r="E414" s="11" t="s">
        <v>20</v>
      </c>
      <c r="F414" s="10">
        <v>1</v>
      </c>
      <c r="G414" s="10"/>
      <c r="H414" s="11">
        <v>0</v>
      </c>
      <c r="I414" s="11"/>
      <c r="J414" s="11" t="s">
        <v>526</v>
      </c>
      <c r="K414" s="11" t="s">
        <v>21</v>
      </c>
      <c r="L414" s="11" t="s">
        <v>527</v>
      </c>
      <c r="M414" s="10"/>
      <c r="N414" s="10"/>
      <c r="O414" s="10"/>
      <c r="P414" s="10"/>
      <c r="Q414" s="13"/>
    </row>
    <row r="415" spans="1:17" ht="19.2" customHeight="1">
      <c r="A415" s="9" t="s">
        <v>528</v>
      </c>
      <c r="B415" s="10"/>
      <c r="C415" s="11" t="s">
        <v>529</v>
      </c>
      <c r="D415" s="11" t="s">
        <v>529</v>
      </c>
      <c r="E415" s="11" t="s">
        <v>20</v>
      </c>
      <c r="F415" s="10">
        <v>1</v>
      </c>
      <c r="G415" s="10"/>
      <c r="H415" s="11"/>
      <c r="I415" s="11"/>
      <c r="J415" s="11" t="s">
        <v>529</v>
      </c>
      <c r="K415" s="11" t="s">
        <v>21</v>
      </c>
      <c r="L415" s="11" t="s">
        <v>157</v>
      </c>
      <c r="M415" s="10"/>
      <c r="N415" s="10"/>
      <c r="O415" s="10"/>
      <c r="P415" s="10"/>
      <c r="Q415" s="13"/>
    </row>
    <row r="416" spans="1:17" ht="19.2" customHeight="1">
      <c r="A416" s="9" t="s">
        <v>530</v>
      </c>
      <c r="B416" s="10"/>
      <c r="C416" s="11" t="s">
        <v>531</v>
      </c>
      <c r="D416" s="11" t="s">
        <v>531</v>
      </c>
      <c r="E416" s="11" t="s">
        <v>20</v>
      </c>
      <c r="F416" s="10">
        <v>1</v>
      </c>
      <c r="G416" s="10"/>
      <c r="H416" s="11"/>
      <c r="I416" s="11"/>
      <c r="J416" s="11" t="s">
        <v>531</v>
      </c>
      <c r="K416" s="11" t="s">
        <v>21</v>
      </c>
      <c r="L416" s="11" t="s">
        <v>26</v>
      </c>
      <c r="M416" s="10"/>
      <c r="N416" s="10"/>
      <c r="O416" s="10"/>
      <c r="P416" s="10"/>
      <c r="Q416" s="13"/>
    </row>
    <row r="417" spans="1:17" ht="19.2" customHeight="1">
      <c r="A417" s="9" t="s">
        <v>532</v>
      </c>
      <c r="B417" s="10"/>
      <c r="C417" s="11" t="s">
        <v>533</v>
      </c>
      <c r="D417" s="11" t="s">
        <v>533</v>
      </c>
      <c r="E417" s="11" t="s">
        <v>20</v>
      </c>
      <c r="F417" s="10">
        <v>2</v>
      </c>
      <c r="G417" s="10"/>
      <c r="H417" s="11">
        <v>0</v>
      </c>
      <c r="I417" s="11"/>
      <c r="J417" s="11" t="s">
        <v>533</v>
      </c>
      <c r="K417" s="11" t="s">
        <v>21</v>
      </c>
      <c r="L417" s="11" t="s">
        <v>534</v>
      </c>
      <c r="M417" s="10"/>
      <c r="N417" s="10"/>
      <c r="O417" s="10"/>
      <c r="P417" s="10"/>
      <c r="Q417" s="13"/>
    </row>
    <row r="418" spans="1:17" ht="19.2" customHeight="1">
      <c r="A418" s="9" t="s">
        <v>535</v>
      </c>
      <c r="B418" s="10"/>
      <c r="C418" s="11" t="s">
        <v>536</v>
      </c>
      <c r="D418" s="11" t="s">
        <v>536</v>
      </c>
      <c r="E418" s="11" t="s">
        <v>20</v>
      </c>
      <c r="F418" s="10">
        <v>2</v>
      </c>
      <c r="G418" s="10"/>
      <c r="H418" s="11">
        <v>0</v>
      </c>
      <c r="I418" s="11"/>
      <c r="J418" s="11" t="s">
        <v>536</v>
      </c>
      <c r="K418" s="11" t="s">
        <v>21</v>
      </c>
      <c r="L418" s="11" t="s">
        <v>458</v>
      </c>
      <c r="M418" s="10"/>
      <c r="N418" s="10"/>
      <c r="O418" s="10"/>
      <c r="P418" s="10"/>
      <c r="Q418" s="13"/>
    </row>
    <row r="419" spans="1:17" ht="19.2" customHeight="1">
      <c r="A419" s="9" t="s">
        <v>537</v>
      </c>
      <c r="B419" s="10"/>
      <c r="C419" s="11" t="s">
        <v>538</v>
      </c>
      <c r="D419" s="11" t="s">
        <v>538</v>
      </c>
      <c r="E419" s="11" t="s">
        <v>20</v>
      </c>
      <c r="F419" s="10">
        <v>1</v>
      </c>
      <c r="G419" s="10"/>
      <c r="H419" s="11">
        <v>0</v>
      </c>
      <c r="I419" s="11"/>
      <c r="J419" s="11" t="s">
        <v>538</v>
      </c>
      <c r="K419" s="11" t="s">
        <v>21</v>
      </c>
      <c r="L419" s="11" t="s">
        <v>539</v>
      </c>
      <c r="M419" s="10"/>
      <c r="N419" s="10"/>
      <c r="O419" s="10"/>
      <c r="P419" s="10"/>
      <c r="Q419" s="13"/>
    </row>
    <row r="420" spans="1:17" ht="19.2" customHeight="1">
      <c r="A420" s="9" t="s">
        <v>540</v>
      </c>
      <c r="B420" s="10"/>
      <c r="C420" s="11" t="s">
        <v>541</v>
      </c>
      <c r="D420" s="11" t="s">
        <v>541</v>
      </c>
      <c r="E420" s="11" t="s">
        <v>20</v>
      </c>
      <c r="F420" s="10">
        <v>2</v>
      </c>
      <c r="G420" s="10"/>
      <c r="H420" s="11">
        <v>0</v>
      </c>
      <c r="I420" s="11"/>
      <c r="J420" s="11" t="s">
        <v>541</v>
      </c>
      <c r="K420" s="11" t="s">
        <v>21</v>
      </c>
      <c r="L420" s="11" t="s">
        <v>157</v>
      </c>
      <c r="M420" s="10"/>
      <c r="N420" s="10"/>
      <c r="O420" s="10"/>
      <c r="P420" s="10"/>
      <c r="Q420" s="13"/>
    </row>
    <row r="421" spans="1:17" ht="19.2" customHeight="1">
      <c r="A421" s="19" t="s">
        <v>542</v>
      </c>
      <c r="B421" s="10" t="str">
        <f>HYPERLINK("https://drive.google.com/file/d/18tawnu_55tBUwM_74RK1xnzp8ZkalK8l/view?usp=drivesdk","20260707_130212.jpg")</f>
        <v>20260707_130212.jpg</v>
      </c>
      <c r="C421" s="21" t="s">
        <v>543</v>
      </c>
      <c r="D421" s="21" t="s">
        <v>154</v>
      </c>
      <c r="E421" s="21" t="s">
        <v>20</v>
      </c>
      <c r="F421" s="23">
        <v>3</v>
      </c>
      <c r="G421" s="23"/>
      <c r="H421" s="21">
        <v>0</v>
      </c>
      <c r="I421" s="21"/>
      <c r="J421" s="21" t="s">
        <v>154</v>
      </c>
      <c r="K421" s="21" t="s">
        <v>21</v>
      </c>
      <c r="L421" s="21" t="s">
        <v>22</v>
      </c>
      <c r="M421" s="23"/>
      <c r="N421" s="23"/>
      <c r="O421" s="23"/>
      <c r="P421" s="23"/>
      <c r="Q421" s="27"/>
    </row>
    <row r="422" spans="1:17" ht="19.2" customHeight="1">
      <c r="A422" s="19"/>
      <c r="B422" s="10" t="str">
        <f>HYPERLINK("https://drive.google.com/file/d/1NZTFkCn-GspEKlDPBEYMFc22HpgGDoI4/view?usp=drivesdk","20260707_130217.jpg")</f>
        <v>20260707_130217.jpg</v>
      </c>
      <c r="C422" s="21"/>
      <c r="D422" s="21"/>
      <c r="E422" s="21"/>
      <c r="F422" s="23"/>
      <c r="G422" s="23"/>
      <c r="H422" s="21"/>
      <c r="I422" s="21"/>
      <c r="J422" s="21"/>
      <c r="K422" s="21"/>
      <c r="L422" s="21"/>
      <c r="M422" s="23"/>
      <c r="N422" s="23"/>
      <c r="O422" s="23"/>
      <c r="P422" s="23"/>
      <c r="Q422" s="27"/>
    </row>
    <row r="423" spans="1:17" ht="19.2" customHeight="1">
      <c r="A423" s="19"/>
      <c r="B423" s="10" t="str">
        <f>HYPERLINK("https://drive.google.com/file/d/1glQbRIKaUot6aR5Bb225wmTi51Dprcyw/view?usp=drivesdk","20260707_130224.jpg")</f>
        <v>20260707_130224.jpg</v>
      </c>
      <c r="C423" s="21"/>
      <c r="D423" s="21"/>
      <c r="E423" s="21"/>
      <c r="F423" s="23"/>
      <c r="G423" s="23"/>
      <c r="H423" s="21"/>
      <c r="I423" s="21"/>
      <c r="J423" s="21"/>
      <c r="K423" s="21"/>
      <c r="L423" s="21"/>
      <c r="M423" s="23"/>
      <c r="N423" s="23"/>
      <c r="O423" s="23"/>
      <c r="P423" s="23"/>
      <c r="Q423" s="27"/>
    </row>
    <row r="424" spans="1:17" ht="19.2" customHeight="1">
      <c r="A424" s="19"/>
      <c r="B424" s="10" t="str">
        <f>HYPERLINK("https://drive.google.com/file/d/17LKK9coew7udscTjUsKmC3-kwvYN8geL/view?usp=drivesdk","20260707_130335.jpg")</f>
        <v>20260707_130335.jpg</v>
      </c>
      <c r="C424" s="21"/>
      <c r="D424" s="21"/>
      <c r="E424" s="21"/>
      <c r="F424" s="23"/>
      <c r="G424" s="23"/>
      <c r="H424" s="21"/>
      <c r="I424" s="21"/>
      <c r="J424" s="21"/>
      <c r="K424" s="21"/>
      <c r="L424" s="21"/>
      <c r="M424" s="23"/>
      <c r="N424" s="23"/>
      <c r="O424" s="23"/>
      <c r="P424" s="23"/>
      <c r="Q424" s="27"/>
    </row>
    <row r="425" spans="1:17" ht="19.2" customHeight="1">
      <c r="A425" s="19"/>
      <c r="B425" s="10" t="str">
        <f>HYPERLINK("https://drive.google.com/file/d/1-uHgLhZg1eJqP7AVUUBX8U72EVwocmez/view?usp=drivesdk","20260707_130345.jpg")</f>
        <v>20260707_130345.jpg</v>
      </c>
      <c r="C425" s="21"/>
      <c r="D425" s="21"/>
      <c r="E425" s="21"/>
      <c r="F425" s="23"/>
      <c r="G425" s="23"/>
      <c r="H425" s="21"/>
      <c r="I425" s="21"/>
      <c r="J425" s="21"/>
      <c r="K425" s="21"/>
      <c r="L425" s="21"/>
      <c r="M425" s="23"/>
      <c r="N425" s="23"/>
      <c r="O425" s="23"/>
      <c r="P425" s="23"/>
      <c r="Q425" s="27"/>
    </row>
    <row r="426" spans="1:17" ht="19.2" customHeight="1">
      <c r="A426" s="19"/>
      <c r="B426" s="10" t="str">
        <f>HYPERLINK("https://drive.google.com/file/d/1LFJmo4zRbI5bC1yOZJZVQ0VCtp0vHYJ4/view?usp=drivesdk","20260707_130357.jpg")</f>
        <v>20260707_130357.jpg</v>
      </c>
      <c r="C426" s="21"/>
      <c r="D426" s="21"/>
      <c r="E426" s="21"/>
      <c r="F426" s="23"/>
      <c r="G426" s="23"/>
      <c r="H426" s="21"/>
      <c r="I426" s="21"/>
      <c r="J426" s="21"/>
      <c r="K426" s="21"/>
      <c r="L426" s="21"/>
      <c r="M426" s="23"/>
      <c r="N426" s="23"/>
      <c r="O426" s="23"/>
      <c r="P426" s="23"/>
      <c r="Q426" s="27"/>
    </row>
    <row r="427" spans="1:17" ht="19.2" customHeight="1">
      <c r="A427" s="19"/>
      <c r="B427" s="10" t="str">
        <f>HYPERLINK("https://drive.google.com/file/d/1h79gMYx0lCe3lukCESS33BdZ19jwPAa3/view?usp=drivesdk","20260707_130401.jpg")</f>
        <v>20260707_130401.jpg</v>
      </c>
      <c r="C427" s="21"/>
      <c r="D427" s="21"/>
      <c r="E427" s="21"/>
      <c r="F427" s="23"/>
      <c r="G427" s="23"/>
      <c r="H427" s="21"/>
      <c r="I427" s="21"/>
      <c r="J427" s="21"/>
      <c r="K427" s="21"/>
      <c r="L427" s="21"/>
      <c r="M427" s="23"/>
      <c r="N427" s="23"/>
      <c r="O427" s="23"/>
      <c r="P427" s="23"/>
      <c r="Q427" s="27"/>
    </row>
    <row r="428" spans="1:17" ht="19.2" customHeight="1">
      <c r="A428" s="19"/>
      <c r="B428" s="10" t="str">
        <f>HYPERLINK("https://drive.google.com/file/d/1ij1Jna8ZamhA-xzOutQxT6mt7iErFt92/view?usp=drivesdk","20260707_130625.jpg")</f>
        <v>20260707_130625.jpg</v>
      </c>
      <c r="C428" s="21"/>
      <c r="D428" s="21"/>
      <c r="E428" s="21"/>
      <c r="F428" s="23"/>
      <c r="G428" s="23"/>
      <c r="H428" s="21"/>
      <c r="I428" s="21"/>
      <c r="J428" s="21"/>
      <c r="K428" s="21"/>
      <c r="L428" s="21"/>
      <c r="M428" s="23"/>
      <c r="N428" s="23"/>
      <c r="O428" s="23"/>
      <c r="P428" s="23"/>
      <c r="Q428" s="27"/>
    </row>
    <row r="429" spans="1:17" ht="19.2" customHeight="1">
      <c r="A429" s="19"/>
      <c r="B429" s="10" t="str">
        <f>HYPERLINK("https://drive.google.com/file/d/1D63zkCAeMByZwu9r4uZsmPaJKhhZXfrU/view?usp=drivesdk","20260707_130630.jpg")</f>
        <v>20260707_130630.jpg</v>
      </c>
      <c r="C429" s="21"/>
      <c r="D429" s="21"/>
      <c r="E429" s="21"/>
      <c r="F429" s="23"/>
      <c r="G429" s="23"/>
      <c r="H429" s="21"/>
      <c r="I429" s="21"/>
      <c r="J429" s="21"/>
      <c r="K429" s="21"/>
      <c r="L429" s="21"/>
      <c r="M429" s="23"/>
      <c r="N429" s="23"/>
      <c r="O429" s="23"/>
      <c r="P429" s="23"/>
      <c r="Q429" s="27"/>
    </row>
    <row r="430" spans="1:17" ht="19.2" customHeight="1">
      <c r="A430" s="19"/>
      <c r="B430" s="10" t="str">
        <f>HYPERLINK("https://drive.google.com/file/d/1i9aqu_cJqdwvEuVLb0H_lChimHWHvLKN/view?usp=drivesdk","20260707_130635.jpg")</f>
        <v>20260707_130635.jpg</v>
      </c>
      <c r="C430" s="21"/>
      <c r="D430" s="21"/>
      <c r="E430" s="21"/>
      <c r="F430" s="23"/>
      <c r="G430" s="23"/>
      <c r="H430" s="21"/>
      <c r="I430" s="21"/>
      <c r="J430" s="21"/>
      <c r="K430" s="21"/>
      <c r="L430" s="21"/>
      <c r="M430" s="23"/>
      <c r="N430" s="23"/>
      <c r="O430" s="23"/>
      <c r="P430" s="23"/>
      <c r="Q430" s="27"/>
    </row>
    <row r="431" spans="1:17" ht="19.2" customHeight="1">
      <c r="A431" s="19"/>
      <c r="B431" s="10" t="str">
        <f>HYPERLINK("https://drive.google.com/file/d/1fCrEdp_DmO6YJpTFK4AWvDL2NGrDfNXD/view?usp=drivesdk","20260707_130641.jpg")</f>
        <v>20260707_130641.jpg</v>
      </c>
      <c r="C431" s="21"/>
      <c r="D431" s="21"/>
      <c r="E431" s="21"/>
      <c r="F431" s="23"/>
      <c r="G431" s="23"/>
      <c r="H431" s="21"/>
      <c r="I431" s="21"/>
      <c r="J431" s="21"/>
      <c r="K431" s="21"/>
      <c r="L431" s="21"/>
      <c r="M431" s="23"/>
      <c r="N431" s="23"/>
      <c r="O431" s="23"/>
      <c r="P431" s="23"/>
      <c r="Q431" s="27"/>
    </row>
    <row r="432" spans="1:17" ht="19.2" customHeight="1">
      <c r="A432" s="19"/>
      <c r="B432" s="10" t="str">
        <f>HYPERLINK("https://drive.google.com/file/d/1tBpMfB1xNiWZkQvBzJtcP6k75_bXXiaB/view?usp=drivesdk","20260707_130657.jpg")</f>
        <v>20260707_130657.jpg</v>
      </c>
      <c r="C432" s="21"/>
      <c r="D432" s="21"/>
      <c r="E432" s="21"/>
      <c r="F432" s="23"/>
      <c r="G432" s="23"/>
      <c r="H432" s="21"/>
      <c r="I432" s="21"/>
      <c r="J432" s="21"/>
      <c r="K432" s="21"/>
      <c r="L432" s="21"/>
      <c r="M432" s="23"/>
      <c r="N432" s="23"/>
      <c r="O432" s="23"/>
      <c r="P432" s="23"/>
      <c r="Q432" s="27"/>
    </row>
    <row r="433" spans="1:17" ht="19.2" customHeight="1">
      <c r="A433" s="19"/>
      <c r="B433" s="10" t="str">
        <f>HYPERLINK("https://drive.google.com/file/d/1YqPKWIm1hMdQJZcB4qSN-Gi8Vf2PgUqn/view?usp=drivesdk","20260707_130708.jpg")</f>
        <v>20260707_130708.jpg</v>
      </c>
      <c r="C433" s="21"/>
      <c r="D433" s="21"/>
      <c r="E433" s="21"/>
      <c r="F433" s="23"/>
      <c r="G433" s="23"/>
      <c r="H433" s="21"/>
      <c r="I433" s="21"/>
      <c r="J433" s="21"/>
      <c r="K433" s="21"/>
      <c r="L433" s="21"/>
      <c r="M433" s="23"/>
      <c r="N433" s="23"/>
      <c r="O433" s="23"/>
      <c r="P433" s="23"/>
      <c r="Q433" s="27"/>
    </row>
    <row r="434" spans="1:17" ht="19.2" customHeight="1">
      <c r="A434" s="19"/>
      <c r="B434" s="10" t="str">
        <f>HYPERLINK("https://drive.google.com/file/d/1mJmUYat8780zVYnCbFOhPKN9sQ5TEkYw/view?usp=drivesdk","20260707_130712.jpg")</f>
        <v>20260707_130712.jpg</v>
      </c>
      <c r="C434" s="21"/>
      <c r="D434" s="21"/>
      <c r="E434" s="21"/>
      <c r="F434" s="23"/>
      <c r="G434" s="23"/>
      <c r="H434" s="21"/>
      <c r="I434" s="21"/>
      <c r="J434" s="21"/>
      <c r="K434" s="21"/>
      <c r="L434" s="21"/>
      <c r="M434" s="23"/>
      <c r="N434" s="23"/>
      <c r="O434" s="23"/>
      <c r="P434" s="23"/>
      <c r="Q434" s="27"/>
    </row>
    <row r="435" spans="1:17" ht="19.2" customHeight="1">
      <c r="A435" s="19"/>
      <c r="B435" s="10" t="str">
        <f>HYPERLINK("https://drive.google.com/file/d/1WWSBETaGkr1gIIF83Wva5hV8-WHfQHz-/view?usp=drivesdk","20260707_130721.jpg")</f>
        <v>20260707_130721.jpg</v>
      </c>
      <c r="C435" s="21"/>
      <c r="D435" s="21"/>
      <c r="E435" s="21"/>
      <c r="F435" s="23"/>
      <c r="G435" s="23"/>
      <c r="H435" s="21"/>
      <c r="I435" s="21"/>
      <c r="J435" s="21"/>
      <c r="K435" s="21"/>
      <c r="L435" s="21"/>
      <c r="M435" s="23"/>
      <c r="N435" s="23"/>
      <c r="O435" s="23"/>
      <c r="P435" s="23"/>
      <c r="Q435" s="27"/>
    </row>
    <row r="436" spans="1:17" ht="19.2" customHeight="1">
      <c r="A436" s="19"/>
      <c r="B436" s="10" t="str">
        <f>HYPERLINK("https://drive.google.com/file/d/1w3oks7UQnJ-eXG4bD2LQx083u1MHbbYr/view?usp=drivesdk","20260707_130731.jpg")</f>
        <v>20260707_130731.jpg</v>
      </c>
      <c r="C436" s="21"/>
      <c r="D436" s="21"/>
      <c r="E436" s="21"/>
      <c r="F436" s="23"/>
      <c r="G436" s="23"/>
      <c r="H436" s="21"/>
      <c r="I436" s="21"/>
      <c r="J436" s="21"/>
      <c r="K436" s="21"/>
      <c r="L436" s="21"/>
      <c r="M436" s="23"/>
      <c r="N436" s="23"/>
      <c r="O436" s="23"/>
      <c r="P436" s="23"/>
      <c r="Q436" s="27"/>
    </row>
    <row r="437" spans="1:17" ht="19.2" customHeight="1">
      <c r="A437" s="9" t="s">
        <v>544</v>
      </c>
      <c r="B437" s="10"/>
      <c r="C437" s="11" t="s">
        <v>545</v>
      </c>
      <c r="D437" s="11" t="s">
        <v>545</v>
      </c>
      <c r="E437" s="11" t="s">
        <v>20</v>
      </c>
      <c r="F437" s="10">
        <v>9</v>
      </c>
      <c r="G437" s="10"/>
      <c r="H437" s="11">
        <v>0</v>
      </c>
      <c r="I437" s="11"/>
      <c r="J437" s="11" t="s">
        <v>545</v>
      </c>
      <c r="K437" s="11" t="s">
        <v>21</v>
      </c>
      <c r="L437" s="11" t="s">
        <v>157</v>
      </c>
      <c r="M437" s="10"/>
      <c r="N437" s="10"/>
      <c r="O437" s="10"/>
      <c r="P437" s="10"/>
      <c r="Q437" s="13"/>
    </row>
    <row r="438" spans="1:17" ht="19.2" customHeight="1">
      <c r="A438" s="9" t="s">
        <v>546</v>
      </c>
      <c r="B438" s="10"/>
      <c r="C438" s="11" t="s">
        <v>547</v>
      </c>
      <c r="D438" s="11" t="s">
        <v>547</v>
      </c>
      <c r="E438" s="11" t="s">
        <v>20</v>
      </c>
      <c r="F438" s="10">
        <v>11</v>
      </c>
      <c r="G438" s="10"/>
      <c r="H438" s="11">
        <v>0</v>
      </c>
      <c r="I438" s="11"/>
      <c r="J438" s="11" t="s">
        <v>547</v>
      </c>
      <c r="K438" s="11" t="s">
        <v>21</v>
      </c>
      <c r="L438" s="11" t="s">
        <v>157</v>
      </c>
      <c r="M438" s="10"/>
      <c r="N438" s="10"/>
      <c r="O438" s="10"/>
      <c r="P438" s="10"/>
      <c r="Q438" s="13"/>
    </row>
    <row r="439" spans="1:17" ht="19.2" customHeight="1">
      <c r="A439" s="19" t="s">
        <v>548</v>
      </c>
      <c r="B439" s="10" t="str">
        <f>HYPERLINK("https://drive.google.com/file/d/1axP__FSFkpGk_tt1A8UX-9LNT5BLK17f/view?usp=drivesdk","20260707_171558.jpg")</f>
        <v>20260707_171558.jpg</v>
      </c>
      <c r="C439" s="21" t="s">
        <v>549</v>
      </c>
      <c r="D439" s="21" t="s">
        <v>549</v>
      </c>
      <c r="E439" s="21" t="s">
        <v>20</v>
      </c>
      <c r="F439" s="23">
        <v>1</v>
      </c>
      <c r="G439" s="23"/>
      <c r="H439" s="21">
        <v>0</v>
      </c>
      <c r="I439" s="21"/>
      <c r="J439" s="21" t="s">
        <v>549</v>
      </c>
      <c r="K439" s="21" t="s">
        <v>21</v>
      </c>
      <c r="L439" s="21" t="s">
        <v>550</v>
      </c>
      <c r="M439" s="23"/>
      <c r="N439" s="23"/>
      <c r="O439" s="23"/>
      <c r="P439" s="23"/>
      <c r="Q439" s="27"/>
    </row>
    <row r="440" spans="1:17" ht="19.2" customHeight="1">
      <c r="A440" s="19"/>
      <c r="B440" s="10" t="str">
        <f>HYPERLINK("https://drive.google.com/file/d/1nE9xlkPvtXeumij0S_BrZLqu47xF87GL/view?usp=drivesdk","20260707_171610.jpg")</f>
        <v>20260707_171610.jpg</v>
      </c>
      <c r="C440" s="21"/>
      <c r="D440" s="21"/>
      <c r="E440" s="21"/>
      <c r="F440" s="23"/>
      <c r="G440" s="23"/>
      <c r="H440" s="21"/>
      <c r="I440" s="21"/>
      <c r="J440" s="21"/>
      <c r="K440" s="21"/>
      <c r="L440" s="21"/>
      <c r="M440" s="23"/>
      <c r="N440" s="23"/>
      <c r="O440" s="23"/>
      <c r="P440" s="23"/>
      <c r="Q440" s="27"/>
    </row>
    <row r="441" spans="1:17" ht="19.2" customHeight="1">
      <c r="A441" s="9" t="s">
        <v>551</v>
      </c>
      <c r="B441" s="10"/>
      <c r="C441" s="11" t="s">
        <v>552</v>
      </c>
      <c r="D441" s="11" t="s">
        <v>241</v>
      </c>
      <c r="E441" s="11" t="s">
        <v>20</v>
      </c>
      <c r="F441" s="10">
        <v>1</v>
      </c>
      <c r="G441" s="10"/>
      <c r="H441" s="11">
        <v>0</v>
      </c>
      <c r="I441" s="11"/>
      <c r="J441" s="11" t="s">
        <v>241</v>
      </c>
      <c r="K441" s="11" t="s">
        <v>21</v>
      </c>
      <c r="L441" s="11" t="s">
        <v>26</v>
      </c>
      <c r="M441" s="10"/>
      <c r="N441" s="10"/>
      <c r="O441" s="10"/>
      <c r="P441" s="10"/>
      <c r="Q441" s="13"/>
    </row>
    <row r="442" spans="1:17" ht="19.2" customHeight="1">
      <c r="A442" s="9" t="s">
        <v>553</v>
      </c>
      <c r="B442" s="10"/>
      <c r="C442" s="11" t="s">
        <v>554</v>
      </c>
      <c r="D442" s="11" t="s">
        <v>554</v>
      </c>
      <c r="E442" s="11" t="s">
        <v>20</v>
      </c>
      <c r="F442" s="10">
        <v>2</v>
      </c>
      <c r="G442" s="10"/>
      <c r="H442" s="11">
        <v>0</v>
      </c>
      <c r="I442" s="11"/>
      <c r="J442" s="11" t="s">
        <v>554</v>
      </c>
      <c r="K442" s="11" t="s">
        <v>21</v>
      </c>
      <c r="L442" s="11" t="s">
        <v>157</v>
      </c>
      <c r="M442" s="10"/>
      <c r="N442" s="10"/>
      <c r="O442" s="10"/>
      <c r="P442" s="10"/>
      <c r="Q442" s="13"/>
    </row>
    <row r="443" spans="1:17" ht="19.2" customHeight="1">
      <c r="A443" s="9" t="s">
        <v>555</v>
      </c>
      <c r="B443" s="10"/>
      <c r="C443" s="11" t="s">
        <v>556</v>
      </c>
      <c r="D443" s="11" t="s">
        <v>556</v>
      </c>
      <c r="E443" s="11" t="s">
        <v>20</v>
      </c>
      <c r="F443" s="10">
        <v>1</v>
      </c>
      <c r="G443" s="10"/>
      <c r="H443" s="11">
        <v>0</v>
      </c>
      <c r="I443" s="11"/>
      <c r="J443" s="11" t="s">
        <v>556</v>
      </c>
      <c r="K443" s="11" t="s">
        <v>21</v>
      </c>
      <c r="L443" s="11" t="s">
        <v>458</v>
      </c>
      <c r="M443" s="10"/>
      <c r="N443" s="10"/>
      <c r="O443" s="10"/>
      <c r="P443" s="10"/>
      <c r="Q443" s="13"/>
    </row>
    <row r="444" spans="1:17" ht="19.2" customHeight="1">
      <c r="A444" s="9" t="s">
        <v>557</v>
      </c>
      <c r="B444" s="10"/>
      <c r="C444" s="11" t="s">
        <v>558</v>
      </c>
      <c r="D444" s="11" t="s">
        <v>558</v>
      </c>
      <c r="E444" s="11" t="s">
        <v>20</v>
      </c>
      <c r="F444" s="10">
        <v>1</v>
      </c>
      <c r="G444" s="10"/>
      <c r="H444" s="11">
        <v>0</v>
      </c>
      <c r="I444" s="11"/>
      <c r="J444" s="11" t="s">
        <v>558</v>
      </c>
      <c r="K444" s="11" t="s">
        <v>21</v>
      </c>
      <c r="L444" s="11" t="s">
        <v>458</v>
      </c>
      <c r="M444" s="10"/>
      <c r="N444" s="10"/>
      <c r="O444" s="10"/>
      <c r="P444" s="10"/>
      <c r="Q444" s="13"/>
    </row>
    <row r="445" spans="1:17" ht="19.2" customHeight="1">
      <c r="A445" s="9" t="s">
        <v>559</v>
      </c>
      <c r="B445" s="10"/>
      <c r="C445" s="11" t="s">
        <v>560</v>
      </c>
      <c r="D445" s="11" t="s">
        <v>560</v>
      </c>
      <c r="E445" s="11" t="s">
        <v>20</v>
      </c>
      <c r="F445" s="10">
        <v>1</v>
      </c>
      <c r="G445" s="10"/>
      <c r="H445" s="11">
        <v>0</v>
      </c>
      <c r="I445" s="11"/>
      <c r="J445" s="11" t="s">
        <v>560</v>
      </c>
      <c r="K445" s="11" t="s">
        <v>21</v>
      </c>
      <c r="L445" s="11" t="s">
        <v>458</v>
      </c>
      <c r="M445" s="10"/>
      <c r="N445" s="10"/>
      <c r="O445" s="10"/>
      <c r="P445" s="10"/>
      <c r="Q445" s="13"/>
    </row>
    <row r="446" spans="1:17" ht="19.2" customHeight="1">
      <c r="A446" s="19" t="s">
        <v>561</v>
      </c>
      <c r="B446" s="10" t="str">
        <f>HYPERLINK("https://drive.google.com/file/d/1MiErYt1E4RUH_Dn0dSB3G7pJp64p0idV/view?usp=drivesdk","20260707_170847.jpg")</f>
        <v>20260707_170847.jpg</v>
      </c>
      <c r="C446" s="21" t="s">
        <v>562</v>
      </c>
      <c r="D446" s="21" t="s">
        <v>563</v>
      </c>
      <c r="E446" s="21" t="s">
        <v>20</v>
      </c>
      <c r="F446" s="23">
        <v>1</v>
      </c>
      <c r="G446" s="23"/>
      <c r="H446" s="21">
        <v>0</v>
      </c>
      <c r="I446" s="21"/>
      <c r="J446" s="21" t="s">
        <v>563</v>
      </c>
      <c r="K446" s="21" t="s">
        <v>21</v>
      </c>
      <c r="L446" s="21" t="s">
        <v>22</v>
      </c>
      <c r="M446" s="23"/>
      <c r="N446" s="23"/>
      <c r="O446" s="23"/>
      <c r="P446" s="23"/>
      <c r="Q446" s="27"/>
    </row>
    <row r="447" spans="1:17" ht="19.2" customHeight="1">
      <c r="A447" s="19"/>
      <c r="B447" s="10" t="str">
        <f>HYPERLINK("https://drive.google.com/file/d/1Y3NDu1TA6yiWHSjzJnKjdILXMviTeeeV/view?usp=drivesdk","20260707_170853.jpg")</f>
        <v>20260707_170853.jpg</v>
      </c>
      <c r="C447" s="21"/>
      <c r="D447" s="21"/>
      <c r="E447" s="21"/>
      <c r="F447" s="23"/>
      <c r="G447" s="23"/>
      <c r="H447" s="21"/>
      <c r="I447" s="21"/>
      <c r="J447" s="21"/>
      <c r="K447" s="21"/>
      <c r="L447" s="21"/>
      <c r="M447" s="23"/>
      <c r="N447" s="23"/>
      <c r="O447" s="23"/>
      <c r="P447" s="23"/>
      <c r="Q447" s="27"/>
    </row>
    <row r="448" spans="1:17" ht="19.2" customHeight="1">
      <c r="A448" s="9" t="s">
        <v>564</v>
      </c>
      <c r="B448" s="10"/>
      <c r="C448" s="11" t="s">
        <v>565</v>
      </c>
      <c r="D448" s="11" t="s">
        <v>565</v>
      </c>
      <c r="E448" s="11" t="s">
        <v>20</v>
      </c>
      <c r="F448" s="10">
        <v>1</v>
      </c>
      <c r="G448" s="10"/>
      <c r="H448" s="11">
        <v>0</v>
      </c>
      <c r="I448" s="11"/>
      <c r="J448" s="11" t="s">
        <v>565</v>
      </c>
      <c r="K448" s="11" t="s">
        <v>21</v>
      </c>
      <c r="L448" s="11" t="s">
        <v>157</v>
      </c>
      <c r="M448" s="10"/>
      <c r="N448" s="10"/>
      <c r="O448" s="10"/>
      <c r="P448" s="10"/>
      <c r="Q448" s="13"/>
    </row>
    <row r="449" spans="1:17" ht="19.2" customHeight="1">
      <c r="A449" s="9" t="s">
        <v>566</v>
      </c>
      <c r="B449" s="10"/>
      <c r="C449" s="11" t="s">
        <v>567</v>
      </c>
      <c r="D449" s="11" t="s">
        <v>567</v>
      </c>
      <c r="E449" s="11" t="s">
        <v>20</v>
      </c>
      <c r="F449" s="10">
        <v>1</v>
      </c>
      <c r="G449" s="10"/>
      <c r="H449" s="11">
        <v>0</v>
      </c>
      <c r="I449" s="11"/>
      <c r="J449" s="11" t="s">
        <v>567</v>
      </c>
      <c r="K449" s="11" t="s">
        <v>21</v>
      </c>
      <c r="L449" s="11" t="s">
        <v>157</v>
      </c>
      <c r="M449" s="10"/>
      <c r="N449" s="10"/>
      <c r="O449" s="10"/>
      <c r="P449" s="10"/>
      <c r="Q449" s="13"/>
    </row>
    <row r="450" spans="1:17" ht="19.2" customHeight="1">
      <c r="A450" s="9" t="s">
        <v>568</v>
      </c>
      <c r="B450" s="10"/>
      <c r="C450" s="11" t="s">
        <v>569</v>
      </c>
      <c r="D450" s="11" t="s">
        <v>569</v>
      </c>
      <c r="E450" s="11" t="s">
        <v>20</v>
      </c>
      <c r="F450" s="10">
        <v>1</v>
      </c>
      <c r="G450" s="10"/>
      <c r="H450" s="11">
        <v>0</v>
      </c>
      <c r="I450" s="11"/>
      <c r="J450" s="11" t="s">
        <v>569</v>
      </c>
      <c r="K450" s="11" t="s">
        <v>21</v>
      </c>
      <c r="L450" s="11" t="s">
        <v>26</v>
      </c>
      <c r="M450" s="10"/>
      <c r="N450" s="10"/>
      <c r="O450" s="10"/>
      <c r="P450" s="10"/>
      <c r="Q450" s="13"/>
    </row>
    <row r="451" spans="1:17" ht="19.2" customHeight="1">
      <c r="A451" s="9" t="s">
        <v>570</v>
      </c>
      <c r="B451" s="10"/>
      <c r="C451" s="11" t="s">
        <v>571</v>
      </c>
      <c r="D451" s="11" t="s">
        <v>571</v>
      </c>
      <c r="E451" s="11" t="s">
        <v>20</v>
      </c>
      <c r="F451" s="10">
        <v>2</v>
      </c>
      <c r="G451" s="10"/>
      <c r="H451" s="11">
        <v>0</v>
      </c>
      <c r="I451" s="11"/>
      <c r="J451" s="11" t="s">
        <v>571</v>
      </c>
      <c r="K451" s="11" t="s">
        <v>21</v>
      </c>
      <c r="L451" s="11" t="s">
        <v>157</v>
      </c>
      <c r="M451" s="10"/>
      <c r="N451" s="10"/>
      <c r="O451" s="10"/>
      <c r="P451" s="10"/>
      <c r="Q451" s="13"/>
    </row>
    <row r="452" spans="1:17" ht="19.2" customHeight="1">
      <c r="A452" s="9" t="s">
        <v>572</v>
      </c>
      <c r="B452" s="10"/>
      <c r="C452" s="11" t="s">
        <v>573</v>
      </c>
      <c r="D452" s="11" t="s">
        <v>573</v>
      </c>
      <c r="E452" s="11" t="s">
        <v>20</v>
      </c>
      <c r="F452" s="10">
        <v>2</v>
      </c>
      <c r="G452" s="10"/>
      <c r="H452" s="11">
        <v>0</v>
      </c>
      <c r="I452" s="11"/>
      <c r="J452" s="11" t="s">
        <v>573</v>
      </c>
      <c r="K452" s="11" t="s">
        <v>21</v>
      </c>
      <c r="L452" s="11" t="s">
        <v>26</v>
      </c>
      <c r="M452" s="10"/>
      <c r="N452" s="10"/>
      <c r="O452" s="10"/>
      <c r="P452" s="10"/>
      <c r="Q452" s="13"/>
    </row>
    <row r="453" spans="1:17" ht="19.2" customHeight="1">
      <c r="A453" s="9" t="s">
        <v>574</v>
      </c>
      <c r="B453" s="10"/>
      <c r="C453" s="11" t="s">
        <v>575</v>
      </c>
      <c r="D453" s="11" t="s">
        <v>575</v>
      </c>
      <c r="E453" s="11" t="s">
        <v>20</v>
      </c>
      <c r="F453" s="10">
        <v>2</v>
      </c>
      <c r="G453" s="10"/>
      <c r="H453" s="11">
        <v>0</v>
      </c>
      <c r="I453" s="11"/>
      <c r="J453" s="11" t="s">
        <v>575</v>
      </c>
      <c r="K453" s="11" t="s">
        <v>21</v>
      </c>
      <c r="L453" s="11" t="s">
        <v>26</v>
      </c>
      <c r="M453" s="10"/>
      <c r="N453" s="10"/>
      <c r="O453" s="10"/>
      <c r="P453" s="10"/>
      <c r="Q453" s="13"/>
    </row>
    <row r="454" spans="1:17" ht="19.2" customHeight="1">
      <c r="A454" s="9" t="s">
        <v>576</v>
      </c>
      <c r="B454" s="10"/>
      <c r="C454" s="11" t="s">
        <v>577</v>
      </c>
      <c r="D454" s="11" t="s">
        <v>577</v>
      </c>
      <c r="E454" s="11" t="s">
        <v>20</v>
      </c>
      <c r="F454" s="10">
        <v>1</v>
      </c>
      <c r="G454" s="10"/>
      <c r="H454" s="11">
        <v>0</v>
      </c>
      <c r="I454" s="11"/>
      <c r="J454" s="11" t="s">
        <v>577</v>
      </c>
      <c r="K454" s="11" t="s">
        <v>21</v>
      </c>
      <c r="L454" s="11" t="s">
        <v>157</v>
      </c>
      <c r="M454" s="10"/>
      <c r="N454" s="10"/>
      <c r="O454" s="10"/>
      <c r="P454" s="10"/>
      <c r="Q454" s="13"/>
    </row>
    <row r="455" spans="1:17" ht="19.2" customHeight="1">
      <c r="A455" s="9" t="s">
        <v>578</v>
      </c>
      <c r="B455" s="10"/>
      <c r="C455" s="11" t="s">
        <v>312</v>
      </c>
      <c r="D455" s="11" t="s">
        <v>312</v>
      </c>
      <c r="E455" s="11" t="s">
        <v>20</v>
      </c>
      <c r="F455" s="10">
        <v>1</v>
      </c>
      <c r="G455" s="10"/>
      <c r="H455" s="11">
        <v>0</v>
      </c>
      <c r="I455" s="11"/>
      <c r="J455" s="11" t="s">
        <v>312</v>
      </c>
      <c r="K455" s="11" t="s">
        <v>21</v>
      </c>
      <c r="L455" s="11" t="s">
        <v>157</v>
      </c>
      <c r="M455" s="10"/>
      <c r="N455" s="10"/>
      <c r="O455" s="10"/>
      <c r="P455" s="10"/>
      <c r="Q455" s="13"/>
    </row>
    <row r="456" spans="1:17" ht="19.2" customHeight="1">
      <c r="A456" s="9" t="s">
        <v>579</v>
      </c>
      <c r="B456" s="10"/>
      <c r="C456" s="11" t="s">
        <v>580</v>
      </c>
      <c r="D456" s="11" t="s">
        <v>312</v>
      </c>
      <c r="E456" s="11" t="s">
        <v>20</v>
      </c>
      <c r="F456" s="10">
        <v>3</v>
      </c>
      <c r="G456" s="10"/>
      <c r="H456" s="11">
        <v>0</v>
      </c>
      <c r="I456" s="11"/>
      <c r="J456" s="11" t="s">
        <v>312</v>
      </c>
      <c r="K456" s="11" t="s">
        <v>21</v>
      </c>
      <c r="L456" s="11" t="s">
        <v>157</v>
      </c>
      <c r="M456" s="10"/>
      <c r="N456" s="10"/>
      <c r="O456" s="10"/>
      <c r="P456" s="10"/>
      <c r="Q456" s="13"/>
    </row>
    <row r="457" spans="1:17" ht="19.2" customHeight="1">
      <c r="A457" s="9" t="s">
        <v>581</v>
      </c>
      <c r="B457" s="10" t="str">
        <f>HYPERLINK("https://drive.google.com/file/d/13ZszP5h3I3zOF00fUt821VTPU-RhyhAR/view?usp=drivesdk","20260707_155600.jpg")</f>
        <v>20260707_155600.jpg</v>
      </c>
      <c r="C457" s="11" t="s">
        <v>582</v>
      </c>
      <c r="D457" s="11" t="s">
        <v>582</v>
      </c>
      <c r="E457" s="11" t="s">
        <v>20</v>
      </c>
      <c r="F457" s="10">
        <v>25</v>
      </c>
      <c r="G457" s="10"/>
      <c r="H457" s="11">
        <v>0</v>
      </c>
      <c r="I457" s="11"/>
      <c r="J457" s="11" t="s">
        <v>582</v>
      </c>
      <c r="K457" s="11" t="s">
        <v>21</v>
      </c>
      <c r="L457" s="11" t="s">
        <v>583</v>
      </c>
      <c r="M457" s="10"/>
      <c r="N457" s="10"/>
      <c r="O457" s="10"/>
      <c r="P457" s="10"/>
      <c r="Q457" s="13"/>
    </row>
    <row r="458" spans="1:17" ht="19.2" customHeight="1">
      <c r="A458" s="9" t="s">
        <v>584</v>
      </c>
      <c r="B458" s="10"/>
      <c r="C458" s="11" t="s">
        <v>585</v>
      </c>
      <c r="D458" s="11" t="s">
        <v>585</v>
      </c>
      <c r="E458" s="11" t="s">
        <v>20</v>
      </c>
      <c r="F458" s="10">
        <v>2</v>
      </c>
      <c r="G458" s="10"/>
      <c r="H458" s="11">
        <v>0</v>
      </c>
      <c r="I458" s="11"/>
      <c r="J458" s="11" t="s">
        <v>585</v>
      </c>
      <c r="K458" s="11" t="s">
        <v>21</v>
      </c>
      <c r="L458" s="11" t="s">
        <v>458</v>
      </c>
      <c r="M458" s="10"/>
      <c r="N458" s="10"/>
      <c r="O458" s="10"/>
      <c r="P458" s="10"/>
      <c r="Q458" s="13"/>
    </row>
    <row r="459" spans="1:17" ht="19.2" customHeight="1">
      <c r="A459" s="9" t="s">
        <v>586</v>
      </c>
      <c r="B459" s="10"/>
      <c r="C459" s="11" t="s">
        <v>587</v>
      </c>
      <c r="D459" s="11" t="s">
        <v>587</v>
      </c>
      <c r="E459" s="11" t="s">
        <v>20</v>
      </c>
      <c r="F459" s="10">
        <v>1</v>
      </c>
      <c r="G459" s="10"/>
      <c r="H459" s="11">
        <v>0</v>
      </c>
      <c r="I459" s="11"/>
      <c r="J459" s="11" t="s">
        <v>587</v>
      </c>
      <c r="K459" s="11" t="s">
        <v>21</v>
      </c>
      <c r="L459" s="11" t="s">
        <v>458</v>
      </c>
      <c r="M459" s="10"/>
      <c r="N459" s="10"/>
      <c r="O459" s="10"/>
      <c r="P459" s="10"/>
      <c r="Q459" s="13"/>
    </row>
    <row r="460" spans="1:17" ht="19.2" customHeight="1">
      <c r="A460" s="9" t="s">
        <v>588</v>
      </c>
      <c r="B460" s="10"/>
      <c r="C460" s="11" t="s">
        <v>589</v>
      </c>
      <c r="D460" s="11" t="s">
        <v>589</v>
      </c>
      <c r="E460" s="11" t="s">
        <v>20</v>
      </c>
      <c r="F460" s="10">
        <v>1</v>
      </c>
      <c r="G460" s="10"/>
      <c r="H460" s="11">
        <v>0</v>
      </c>
      <c r="I460" s="11"/>
      <c r="J460" s="11" t="s">
        <v>589</v>
      </c>
      <c r="K460" s="11" t="s">
        <v>21</v>
      </c>
      <c r="L460" s="11" t="s">
        <v>458</v>
      </c>
      <c r="M460" s="10"/>
      <c r="N460" s="10"/>
      <c r="O460" s="10"/>
      <c r="P460" s="10"/>
      <c r="Q460" s="13"/>
    </row>
    <row r="461" spans="1:17" ht="19.2" customHeight="1">
      <c r="A461" s="19" t="s">
        <v>590</v>
      </c>
      <c r="B461" s="10" t="str">
        <f>HYPERLINK("https://drive.google.com/file/d/1VRagQlfP1d8jkvPX0qgv0JGSG-M9ePC1/view?usp=drivesdk","20260707_145654.jpg")</f>
        <v>20260707_145654.jpg</v>
      </c>
      <c r="C461" s="21" t="s">
        <v>591</v>
      </c>
      <c r="D461" s="21" t="s">
        <v>591</v>
      </c>
      <c r="E461" s="21" t="s">
        <v>20</v>
      </c>
      <c r="F461" s="23">
        <v>1</v>
      </c>
      <c r="G461" s="23"/>
      <c r="H461" s="21">
        <v>0</v>
      </c>
      <c r="I461" s="21"/>
      <c r="J461" s="21" t="s">
        <v>591</v>
      </c>
      <c r="K461" s="21" t="s">
        <v>21</v>
      </c>
      <c r="L461" s="21" t="s">
        <v>22</v>
      </c>
      <c r="M461" s="23"/>
      <c r="N461" s="23"/>
      <c r="O461" s="23"/>
      <c r="P461" s="23"/>
      <c r="Q461" s="27"/>
    </row>
    <row r="462" spans="1:17" ht="19.2" customHeight="1">
      <c r="A462" s="19"/>
      <c r="B462" s="10" t="str">
        <f>HYPERLINK("https://drive.google.com/file/d/1TzgSAgHL-Xzr-reVNO0iez9OZCD5El3a/view?usp=drivesdk","20260707_145659.jpg")</f>
        <v>20260707_145659.jpg</v>
      </c>
      <c r="C462" s="21"/>
      <c r="D462" s="21"/>
      <c r="E462" s="21"/>
      <c r="F462" s="23"/>
      <c r="G462" s="23"/>
      <c r="H462" s="21"/>
      <c r="I462" s="21"/>
      <c r="J462" s="21"/>
      <c r="K462" s="21"/>
      <c r="L462" s="21"/>
      <c r="M462" s="23"/>
      <c r="N462" s="23"/>
      <c r="O462" s="23"/>
      <c r="P462" s="23"/>
      <c r="Q462" s="27"/>
    </row>
    <row r="463" spans="1:17" ht="19.2" customHeight="1">
      <c r="A463" s="19"/>
      <c r="B463" s="10" t="str">
        <f>HYPERLINK("https://drive.google.com/file/d/1sj2pe8XDPOM232tCRZE7Jm_SCoMKrurF/view?usp=drivesdk","20260707_145706.jpg")</f>
        <v>20260707_145706.jpg</v>
      </c>
      <c r="C463" s="21"/>
      <c r="D463" s="21"/>
      <c r="E463" s="21"/>
      <c r="F463" s="23"/>
      <c r="G463" s="23"/>
      <c r="H463" s="21"/>
      <c r="I463" s="21"/>
      <c r="J463" s="21"/>
      <c r="K463" s="21"/>
      <c r="L463" s="21"/>
      <c r="M463" s="23"/>
      <c r="N463" s="23"/>
      <c r="O463" s="23"/>
      <c r="P463" s="23"/>
      <c r="Q463" s="27"/>
    </row>
    <row r="464" spans="1:17" ht="19.2" customHeight="1">
      <c r="A464" s="9" t="s">
        <v>592</v>
      </c>
      <c r="B464" s="10"/>
      <c r="C464" s="11" t="s">
        <v>593</v>
      </c>
      <c r="D464" s="11" t="s">
        <v>593</v>
      </c>
      <c r="E464" s="11" t="s">
        <v>20</v>
      </c>
      <c r="F464" s="10">
        <v>5</v>
      </c>
      <c r="G464" s="10"/>
      <c r="H464" s="11">
        <v>0</v>
      </c>
      <c r="I464" s="11"/>
      <c r="J464" s="11" t="s">
        <v>593</v>
      </c>
      <c r="K464" s="11" t="s">
        <v>21</v>
      </c>
      <c r="L464" s="11" t="s">
        <v>458</v>
      </c>
      <c r="M464" s="10"/>
      <c r="N464" s="10"/>
      <c r="O464" s="10"/>
      <c r="P464" s="10"/>
      <c r="Q464" s="13"/>
    </row>
    <row r="465" spans="1:17" ht="19.2" customHeight="1">
      <c r="A465" s="9" t="s">
        <v>594</v>
      </c>
      <c r="B465" s="10"/>
      <c r="C465" s="11" t="s">
        <v>595</v>
      </c>
      <c r="D465" s="11" t="s">
        <v>595</v>
      </c>
      <c r="E465" s="11" t="s">
        <v>20</v>
      </c>
      <c r="F465" s="10">
        <v>7</v>
      </c>
      <c r="G465" s="10"/>
      <c r="H465" s="11">
        <v>0</v>
      </c>
      <c r="I465" s="11"/>
      <c r="J465" s="11" t="s">
        <v>595</v>
      </c>
      <c r="K465" s="11" t="s">
        <v>21</v>
      </c>
      <c r="L465" s="11" t="s">
        <v>458</v>
      </c>
      <c r="M465" s="10"/>
      <c r="N465" s="10"/>
      <c r="O465" s="10"/>
      <c r="P465" s="10"/>
      <c r="Q465" s="13"/>
    </row>
    <row r="466" spans="1:17" ht="19.2" customHeight="1">
      <c r="A466" s="19" t="s">
        <v>596</v>
      </c>
      <c r="B466" s="10" t="str">
        <f>HYPERLINK("https://drive.google.com/file/d/1AK5qcmNCgOsUBDJ37dZ4_BO3E2FVsWul/view?usp=drivesdk","20260707_170512.jpg")</f>
        <v>20260707_170512.jpg</v>
      </c>
      <c r="C466" s="21" t="s">
        <v>597</v>
      </c>
      <c r="D466" s="21" t="s">
        <v>598</v>
      </c>
      <c r="E466" s="21" t="s">
        <v>20</v>
      </c>
      <c r="F466" s="23">
        <v>1</v>
      </c>
      <c r="G466" s="23"/>
      <c r="H466" s="21">
        <v>0</v>
      </c>
      <c r="I466" s="21"/>
      <c r="J466" s="21" t="s">
        <v>598</v>
      </c>
      <c r="K466" s="21" t="s">
        <v>21</v>
      </c>
      <c r="L466" s="21" t="s">
        <v>22</v>
      </c>
      <c r="M466" s="23"/>
      <c r="N466" s="23"/>
      <c r="O466" s="23"/>
      <c r="P466" s="23"/>
      <c r="Q466" s="27"/>
    </row>
    <row r="467" spans="1:17" ht="19.2" customHeight="1">
      <c r="A467" s="19"/>
      <c r="B467" s="10" t="str">
        <f>HYPERLINK("https://drive.google.com/file/d/1NCVBGEXy_ayfVTd_C30Ngn8DOJHR-5BB/view?usp=drivesdk","20260707_170516.jpg")</f>
        <v>20260707_170516.jpg</v>
      </c>
      <c r="C467" s="21"/>
      <c r="D467" s="21"/>
      <c r="E467" s="21"/>
      <c r="F467" s="23"/>
      <c r="G467" s="23"/>
      <c r="H467" s="21"/>
      <c r="I467" s="21"/>
      <c r="J467" s="21"/>
      <c r="K467" s="21"/>
      <c r="L467" s="21"/>
      <c r="M467" s="23"/>
      <c r="N467" s="23"/>
      <c r="O467" s="23"/>
      <c r="P467" s="23"/>
      <c r="Q467" s="27"/>
    </row>
    <row r="468" spans="1:17" ht="19.2" customHeight="1">
      <c r="A468" s="19"/>
      <c r="B468" s="10" t="str">
        <f>HYPERLINK("https://drive.google.com/file/d/1fBkEQlzAEX8VHy_8DWSwswIQR_ldXwRc/view?usp=drivesdk","20260707_170739.jpg")</f>
        <v>20260707_170739.jpg</v>
      </c>
      <c r="C468" s="21"/>
      <c r="D468" s="21"/>
      <c r="E468" s="21"/>
      <c r="F468" s="23"/>
      <c r="G468" s="23"/>
      <c r="H468" s="21"/>
      <c r="I468" s="21"/>
      <c r="J468" s="21"/>
      <c r="K468" s="21"/>
      <c r="L468" s="21"/>
      <c r="M468" s="23"/>
      <c r="N468" s="23"/>
      <c r="O468" s="23"/>
      <c r="P468" s="23"/>
      <c r="Q468" s="27"/>
    </row>
    <row r="469" spans="1:17" ht="19.2" customHeight="1">
      <c r="A469" s="19"/>
      <c r="B469" s="10" t="str">
        <f>HYPERLINK("https://drive.google.com/file/d/1gaKulGu7ztVx5VBjg5Q2r6hbt75s1R8E/view?usp=drivesdk","20260707_170756.jpg")</f>
        <v>20260707_170756.jpg</v>
      </c>
      <c r="C469" s="21"/>
      <c r="D469" s="21"/>
      <c r="E469" s="21"/>
      <c r="F469" s="23"/>
      <c r="G469" s="23"/>
      <c r="H469" s="21"/>
      <c r="I469" s="21"/>
      <c r="J469" s="21"/>
      <c r="K469" s="21"/>
      <c r="L469" s="21"/>
      <c r="M469" s="23"/>
      <c r="N469" s="23"/>
      <c r="O469" s="23"/>
      <c r="P469" s="23"/>
      <c r="Q469" s="27"/>
    </row>
    <row r="470" spans="1:17" ht="19.2" customHeight="1">
      <c r="A470" s="9" t="s">
        <v>599</v>
      </c>
      <c r="B470" s="10"/>
      <c r="C470" s="11" t="s">
        <v>600</v>
      </c>
      <c r="D470" s="11" t="s">
        <v>600</v>
      </c>
      <c r="E470" s="11" t="s">
        <v>20</v>
      </c>
      <c r="F470" s="10">
        <v>2</v>
      </c>
      <c r="G470" s="10"/>
      <c r="H470" s="11">
        <v>0</v>
      </c>
      <c r="I470" s="11"/>
      <c r="J470" s="11" t="s">
        <v>600</v>
      </c>
      <c r="K470" s="11" t="s">
        <v>21</v>
      </c>
      <c r="L470" s="11" t="s">
        <v>601</v>
      </c>
      <c r="M470" s="10"/>
      <c r="N470" s="10"/>
      <c r="O470" s="10"/>
      <c r="P470" s="10"/>
      <c r="Q470" s="13"/>
    </row>
    <row r="471" spans="1:17" ht="19.2" customHeight="1">
      <c r="A471" s="9" t="s">
        <v>602</v>
      </c>
      <c r="B471" s="10"/>
      <c r="C471" s="11" t="s">
        <v>603</v>
      </c>
      <c r="D471" s="11" t="s">
        <v>603</v>
      </c>
      <c r="E471" s="11" t="s">
        <v>20</v>
      </c>
      <c r="F471" s="10">
        <v>2</v>
      </c>
      <c r="G471" s="10"/>
      <c r="H471" s="11">
        <v>0</v>
      </c>
      <c r="I471" s="11"/>
      <c r="J471" s="11" t="s">
        <v>603</v>
      </c>
      <c r="K471" s="11" t="s">
        <v>21</v>
      </c>
      <c r="L471" s="11" t="s">
        <v>458</v>
      </c>
      <c r="M471" s="10"/>
      <c r="N471" s="10"/>
      <c r="O471" s="10"/>
      <c r="P471" s="10"/>
      <c r="Q471" s="13"/>
    </row>
    <row r="472" spans="1:17" ht="19.2" customHeight="1">
      <c r="A472" s="9" t="s">
        <v>604</v>
      </c>
      <c r="B472" s="10"/>
      <c r="C472" s="11" t="s">
        <v>605</v>
      </c>
      <c r="D472" s="11" t="s">
        <v>605</v>
      </c>
      <c r="E472" s="11" t="s">
        <v>20</v>
      </c>
      <c r="F472" s="10">
        <v>18</v>
      </c>
      <c r="G472" s="10"/>
      <c r="H472" s="11">
        <v>0</v>
      </c>
      <c r="I472" s="11"/>
      <c r="J472" s="11" t="s">
        <v>605</v>
      </c>
      <c r="K472" s="11" t="s">
        <v>21</v>
      </c>
      <c r="L472" s="11" t="s">
        <v>458</v>
      </c>
      <c r="M472" s="10"/>
      <c r="N472" s="10"/>
      <c r="O472" s="10"/>
      <c r="P472" s="10"/>
      <c r="Q472" s="13"/>
    </row>
    <row r="473" spans="1:17" ht="19.2" customHeight="1">
      <c r="A473" s="16" t="s">
        <v>606</v>
      </c>
      <c r="B473" s="17"/>
      <c r="C473" s="14" t="s">
        <v>607</v>
      </c>
      <c r="D473" s="14" t="s">
        <v>608</v>
      </c>
      <c r="E473" s="14" t="s">
        <v>20</v>
      </c>
      <c r="F473" s="17">
        <v>6</v>
      </c>
      <c r="G473" s="17"/>
      <c r="H473" s="14">
        <v>0</v>
      </c>
      <c r="I473" s="14"/>
      <c r="J473" s="14" t="s">
        <v>608</v>
      </c>
      <c r="K473" s="14" t="s">
        <v>21</v>
      </c>
      <c r="L473" s="14" t="s">
        <v>458</v>
      </c>
      <c r="M473" s="17"/>
      <c r="N473" s="17"/>
      <c r="O473" s="17"/>
      <c r="P473" s="17"/>
      <c r="Q473" s="15"/>
    </row>
  </sheetData>
  <mergeCells count="1792">
    <mergeCell ref="Q466:Q469"/>
    <mergeCell ref="Q461:Q463"/>
    <mergeCell ref="A466:A469"/>
    <mergeCell ref="C466:C469"/>
    <mergeCell ref="D466:D469"/>
    <mergeCell ref="E466:E469"/>
    <mergeCell ref="F466:F469"/>
    <mergeCell ref="G466:G469"/>
    <mergeCell ref="H466:H469"/>
    <mergeCell ref="I466:I469"/>
    <mergeCell ref="J466:J469"/>
    <mergeCell ref="K466:K469"/>
    <mergeCell ref="L466:L469"/>
    <mergeCell ref="M466:M469"/>
    <mergeCell ref="N466:N469"/>
    <mergeCell ref="O466:O469"/>
    <mergeCell ref="P466:P469"/>
    <mergeCell ref="Q446:Q447"/>
    <mergeCell ref="A461:A463"/>
    <mergeCell ref="C461:C463"/>
    <mergeCell ref="D461:D463"/>
    <mergeCell ref="E461:E463"/>
    <mergeCell ref="F461:F463"/>
    <mergeCell ref="G461:G463"/>
    <mergeCell ref="H461:H463"/>
    <mergeCell ref="I461:I463"/>
    <mergeCell ref="J461:J463"/>
    <mergeCell ref="K461:K463"/>
    <mergeCell ref="L461:L463"/>
    <mergeCell ref="M461:M463"/>
    <mergeCell ref="N461:N463"/>
    <mergeCell ref="O461:O463"/>
    <mergeCell ref="P461:P463"/>
    <mergeCell ref="Q439:Q440"/>
    <mergeCell ref="A446:A447"/>
    <mergeCell ref="C446:C447"/>
    <mergeCell ref="D446:D447"/>
    <mergeCell ref="E446:E447"/>
    <mergeCell ref="F446:F447"/>
    <mergeCell ref="G446:G447"/>
    <mergeCell ref="H446:H447"/>
    <mergeCell ref="I446:I447"/>
    <mergeCell ref="J446:J447"/>
    <mergeCell ref="K446:K447"/>
    <mergeCell ref="L446:L447"/>
    <mergeCell ref="M446:M447"/>
    <mergeCell ref="N446:N447"/>
    <mergeCell ref="O446:O447"/>
    <mergeCell ref="P446:P447"/>
    <mergeCell ref="Q421:Q436"/>
    <mergeCell ref="A439:A440"/>
    <mergeCell ref="C439:C440"/>
    <mergeCell ref="D439:D440"/>
    <mergeCell ref="E439:E440"/>
    <mergeCell ref="F439:F440"/>
    <mergeCell ref="G439:G440"/>
    <mergeCell ref="H439:H440"/>
    <mergeCell ref="I439:I440"/>
    <mergeCell ref="J439:J440"/>
    <mergeCell ref="K439:K440"/>
    <mergeCell ref="L439:L440"/>
    <mergeCell ref="M439:M440"/>
    <mergeCell ref="N439:N440"/>
    <mergeCell ref="O439:O440"/>
    <mergeCell ref="P439:P440"/>
    <mergeCell ref="Q412:Q413"/>
    <mergeCell ref="A421:A436"/>
    <mergeCell ref="C421:C436"/>
    <mergeCell ref="D421:D436"/>
    <mergeCell ref="E421:E436"/>
    <mergeCell ref="F421:F436"/>
    <mergeCell ref="G421:G436"/>
    <mergeCell ref="H421:H436"/>
    <mergeCell ref="I421:I436"/>
    <mergeCell ref="J421:J436"/>
    <mergeCell ref="K421:K436"/>
    <mergeCell ref="L421:L436"/>
    <mergeCell ref="M421:M436"/>
    <mergeCell ref="N421:N436"/>
    <mergeCell ref="O421:O436"/>
    <mergeCell ref="P421:P436"/>
    <mergeCell ref="Q410:Q411"/>
    <mergeCell ref="A412:A413"/>
    <mergeCell ref="C412:C413"/>
    <mergeCell ref="D412:D413"/>
    <mergeCell ref="E412:E413"/>
    <mergeCell ref="F412:F413"/>
    <mergeCell ref="G412:G413"/>
    <mergeCell ref="H412:H413"/>
    <mergeCell ref="I412:I413"/>
    <mergeCell ref="J412:J413"/>
    <mergeCell ref="K412:K413"/>
    <mergeCell ref="L412:L413"/>
    <mergeCell ref="M412:M413"/>
    <mergeCell ref="N412:N413"/>
    <mergeCell ref="O412:O413"/>
    <mergeCell ref="P412:P413"/>
    <mergeCell ref="Q399:Q402"/>
    <mergeCell ref="A410:A411"/>
    <mergeCell ref="C410:C411"/>
    <mergeCell ref="D410:D411"/>
    <mergeCell ref="E410:E411"/>
    <mergeCell ref="F410:F411"/>
    <mergeCell ref="G410:G411"/>
    <mergeCell ref="H410:H411"/>
    <mergeCell ref="I410:I411"/>
    <mergeCell ref="J410:J411"/>
    <mergeCell ref="K410:K411"/>
    <mergeCell ref="L410:L411"/>
    <mergeCell ref="M410:M411"/>
    <mergeCell ref="N410:N411"/>
    <mergeCell ref="O410:O411"/>
    <mergeCell ref="P410:P411"/>
    <mergeCell ref="Q396:Q398"/>
    <mergeCell ref="A399:A402"/>
    <mergeCell ref="C399:C402"/>
    <mergeCell ref="D399:D402"/>
    <mergeCell ref="E399:E402"/>
    <mergeCell ref="F399:F402"/>
    <mergeCell ref="G399:G402"/>
    <mergeCell ref="H399:H402"/>
    <mergeCell ref="I399:I402"/>
    <mergeCell ref="J399:J402"/>
    <mergeCell ref="K399:K402"/>
    <mergeCell ref="L399:L402"/>
    <mergeCell ref="M399:M402"/>
    <mergeCell ref="N399:N402"/>
    <mergeCell ref="O399:O402"/>
    <mergeCell ref="P399:P402"/>
    <mergeCell ref="Q394:Q395"/>
    <mergeCell ref="A396:A398"/>
    <mergeCell ref="C396:C398"/>
    <mergeCell ref="D396:D398"/>
    <mergeCell ref="E396:E398"/>
    <mergeCell ref="F396:F398"/>
    <mergeCell ref="G396:G398"/>
    <mergeCell ref="H396:H398"/>
    <mergeCell ref="I396:I398"/>
    <mergeCell ref="J396:J398"/>
    <mergeCell ref="K396:K398"/>
    <mergeCell ref="L396:L398"/>
    <mergeCell ref="M396:M398"/>
    <mergeCell ref="N396:N398"/>
    <mergeCell ref="O396:O398"/>
    <mergeCell ref="P396:P398"/>
    <mergeCell ref="Q382:Q390"/>
    <mergeCell ref="A394:A395"/>
    <mergeCell ref="C394:C395"/>
    <mergeCell ref="D394:D395"/>
    <mergeCell ref="E394:E395"/>
    <mergeCell ref="F394:F395"/>
    <mergeCell ref="G394:G395"/>
    <mergeCell ref="H394:H395"/>
    <mergeCell ref="I394:I395"/>
    <mergeCell ref="J394:J395"/>
    <mergeCell ref="K394:K395"/>
    <mergeCell ref="L394:L395"/>
    <mergeCell ref="M394:M395"/>
    <mergeCell ref="N394:N395"/>
    <mergeCell ref="O394:O395"/>
    <mergeCell ref="P394:P395"/>
    <mergeCell ref="Q367:Q372"/>
    <mergeCell ref="A382:A390"/>
    <mergeCell ref="C382:C390"/>
    <mergeCell ref="D382:D390"/>
    <mergeCell ref="E382:E390"/>
    <mergeCell ref="F382:F390"/>
    <mergeCell ref="G382:G390"/>
    <mergeCell ref="H382:H390"/>
    <mergeCell ref="I382:I390"/>
    <mergeCell ref="J382:J390"/>
    <mergeCell ref="K382:K390"/>
    <mergeCell ref="L382:L390"/>
    <mergeCell ref="M382:M390"/>
    <mergeCell ref="N382:N390"/>
    <mergeCell ref="O382:O390"/>
    <mergeCell ref="P382:P390"/>
    <mergeCell ref="Q361:Q363"/>
    <mergeCell ref="A367:A372"/>
    <mergeCell ref="C367:C372"/>
    <mergeCell ref="D367:D372"/>
    <mergeCell ref="E367:E372"/>
    <mergeCell ref="F367:F372"/>
    <mergeCell ref="G367:G372"/>
    <mergeCell ref="H367:H372"/>
    <mergeCell ref="I367:I372"/>
    <mergeCell ref="J367:J372"/>
    <mergeCell ref="K367:K372"/>
    <mergeCell ref="L367:L372"/>
    <mergeCell ref="M367:M372"/>
    <mergeCell ref="N367:N372"/>
    <mergeCell ref="O367:O372"/>
    <mergeCell ref="P367:P372"/>
    <mergeCell ref="Q357:Q359"/>
    <mergeCell ref="A361:A363"/>
    <mergeCell ref="C361:C363"/>
    <mergeCell ref="D361:D363"/>
    <mergeCell ref="E361:E363"/>
    <mergeCell ref="F361:F363"/>
    <mergeCell ref="G361:G363"/>
    <mergeCell ref="H361:H363"/>
    <mergeCell ref="I361:I363"/>
    <mergeCell ref="J361:J363"/>
    <mergeCell ref="K361:K363"/>
    <mergeCell ref="L361:L363"/>
    <mergeCell ref="M361:M363"/>
    <mergeCell ref="N361:N363"/>
    <mergeCell ref="O361:O363"/>
    <mergeCell ref="P361:P363"/>
    <mergeCell ref="Q354:Q356"/>
    <mergeCell ref="A357:A359"/>
    <mergeCell ref="C357:C359"/>
    <mergeCell ref="D357:D359"/>
    <mergeCell ref="E357:E359"/>
    <mergeCell ref="F357:F359"/>
    <mergeCell ref="G357:G359"/>
    <mergeCell ref="H357:H359"/>
    <mergeCell ref="I357:I359"/>
    <mergeCell ref="J357:J359"/>
    <mergeCell ref="K357:K359"/>
    <mergeCell ref="L357:L359"/>
    <mergeCell ref="M357:M359"/>
    <mergeCell ref="N357:N359"/>
    <mergeCell ref="O357:O359"/>
    <mergeCell ref="P357:P359"/>
    <mergeCell ref="Q349:Q352"/>
    <mergeCell ref="A354:A356"/>
    <mergeCell ref="C354:C356"/>
    <mergeCell ref="D354:D356"/>
    <mergeCell ref="E354:E356"/>
    <mergeCell ref="F354:F356"/>
    <mergeCell ref="G354:G356"/>
    <mergeCell ref="H354:H356"/>
    <mergeCell ref="I354:I356"/>
    <mergeCell ref="J354:J356"/>
    <mergeCell ref="K354:K356"/>
    <mergeCell ref="L354:L356"/>
    <mergeCell ref="M354:M356"/>
    <mergeCell ref="N354:N356"/>
    <mergeCell ref="O354:O356"/>
    <mergeCell ref="P354:P356"/>
    <mergeCell ref="Q346:Q348"/>
    <mergeCell ref="A349:A352"/>
    <mergeCell ref="C349:C352"/>
    <mergeCell ref="D349:D352"/>
    <mergeCell ref="E349:E352"/>
    <mergeCell ref="F349:F352"/>
    <mergeCell ref="G349:G352"/>
    <mergeCell ref="H349:H352"/>
    <mergeCell ref="I349:I352"/>
    <mergeCell ref="J349:J352"/>
    <mergeCell ref="K349:K352"/>
    <mergeCell ref="L349:L352"/>
    <mergeCell ref="M349:M352"/>
    <mergeCell ref="N349:N352"/>
    <mergeCell ref="O349:O352"/>
    <mergeCell ref="P349:P352"/>
    <mergeCell ref="Q342:Q344"/>
    <mergeCell ref="A346:A348"/>
    <mergeCell ref="C346:C348"/>
    <mergeCell ref="D346:D348"/>
    <mergeCell ref="E346:E348"/>
    <mergeCell ref="F346:F348"/>
    <mergeCell ref="G346:G348"/>
    <mergeCell ref="H346:H348"/>
    <mergeCell ref="I346:I348"/>
    <mergeCell ref="J346:J348"/>
    <mergeCell ref="K346:K348"/>
    <mergeCell ref="L346:L348"/>
    <mergeCell ref="M346:M348"/>
    <mergeCell ref="N346:N348"/>
    <mergeCell ref="O346:O348"/>
    <mergeCell ref="P346:P348"/>
    <mergeCell ref="Q339:Q341"/>
    <mergeCell ref="A342:A344"/>
    <mergeCell ref="C342:C344"/>
    <mergeCell ref="D342:D344"/>
    <mergeCell ref="E342:E344"/>
    <mergeCell ref="F342:F344"/>
    <mergeCell ref="G342:G344"/>
    <mergeCell ref="H342:H344"/>
    <mergeCell ref="I342:I344"/>
    <mergeCell ref="J342:J344"/>
    <mergeCell ref="K342:K344"/>
    <mergeCell ref="L342:L344"/>
    <mergeCell ref="M342:M344"/>
    <mergeCell ref="N342:N344"/>
    <mergeCell ref="O342:O344"/>
    <mergeCell ref="P342:P344"/>
    <mergeCell ref="Q337:Q338"/>
    <mergeCell ref="A339:A341"/>
    <mergeCell ref="C339:C341"/>
    <mergeCell ref="D339:D341"/>
    <mergeCell ref="E339:E341"/>
    <mergeCell ref="F339:F341"/>
    <mergeCell ref="G339:G341"/>
    <mergeCell ref="H339:H341"/>
    <mergeCell ref="I339:I341"/>
    <mergeCell ref="J339:J341"/>
    <mergeCell ref="K339:K341"/>
    <mergeCell ref="L339:L341"/>
    <mergeCell ref="M339:M341"/>
    <mergeCell ref="N339:N341"/>
    <mergeCell ref="O339:O341"/>
    <mergeCell ref="P339:P341"/>
    <mergeCell ref="Q335:Q336"/>
    <mergeCell ref="A337:A338"/>
    <mergeCell ref="C337:C338"/>
    <mergeCell ref="D337:D338"/>
    <mergeCell ref="E337:E338"/>
    <mergeCell ref="F337:F338"/>
    <mergeCell ref="G337:G338"/>
    <mergeCell ref="H337:H338"/>
    <mergeCell ref="I337:I338"/>
    <mergeCell ref="J337:J338"/>
    <mergeCell ref="K337:K338"/>
    <mergeCell ref="L337:L338"/>
    <mergeCell ref="M337:M338"/>
    <mergeCell ref="N337:N338"/>
    <mergeCell ref="O337:O338"/>
    <mergeCell ref="P337:P338"/>
    <mergeCell ref="Q332:Q334"/>
    <mergeCell ref="A335:A336"/>
    <mergeCell ref="C335:C336"/>
    <mergeCell ref="D335:D336"/>
    <mergeCell ref="E335:E336"/>
    <mergeCell ref="F335:F336"/>
    <mergeCell ref="G335:G336"/>
    <mergeCell ref="H335:H336"/>
    <mergeCell ref="I335:I336"/>
    <mergeCell ref="J335:J336"/>
    <mergeCell ref="K335:K336"/>
    <mergeCell ref="L335:L336"/>
    <mergeCell ref="M335:M336"/>
    <mergeCell ref="N335:N336"/>
    <mergeCell ref="O335:O336"/>
    <mergeCell ref="P335:P336"/>
    <mergeCell ref="Q328:Q331"/>
    <mergeCell ref="A332:A334"/>
    <mergeCell ref="C332:C334"/>
    <mergeCell ref="D332:D334"/>
    <mergeCell ref="E332:E334"/>
    <mergeCell ref="F332:F334"/>
    <mergeCell ref="G332:G334"/>
    <mergeCell ref="H332:H334"/>
    <mergeCell ref="I332:I334"/>
    <mergeCell ref="J332:J334"/>
    <mergeCell ref="K332:K334"/>
    <mergeCell ref="L332:L334"/>
    <mergeCell ref="M332:M334"/>
    <mergeCell ref="N332:N334"/>
    <mergeCell ref="O332:O334"/>
    <mergeCell ref="P332:P334"/>
    <mergeCell ref="Q320:Q321"/>
    <mergeCell ref="A328:A331"/>
    <mergeCell ref="C328:C331"/>
    <mergeCell ref="D328:D331"/>
    <mergeCell ref="E328:E331"/>
    <mergeCell ref="F328:F331"/>
    <mergeCell ref="G328:G331"/>
    <mergeCell ref="H328:H331"/>
    <mergeCell ref="I328:I331"/>
    <mergeCell ref="J328:J331"/>
    <mergeCell ref="K328:K331"/>
    <mergeCell ref="L328:L331"/>
    <mergeCell ref="M328:M331"/>
    <mergeCell ref="N328:N331"/>
    <mergeCell ref="O328:O331"/>
    <mergeCell ref="P328:P331"/>
    <mergeCell ref="Q315:Q318"/>
    <mergeCell ref="A320:A321"/>
    <mergeCell ref="C320:C321"/>
    <mergeCell ref="D320:D321"/>
    <mergeCell ref="E320:E321"/>
    <mergeCell ref="F320:F321"/>
    <mergeCell ref="G320:G321"/>
    <mergeCell ref="H320:H321"/>
    <mergeCell ref="I320:I321"/>
    <mergeCell ref="J320:J321"/>
    <mergeCell ref="K320:K321"/>
    <mergeCell ref="L320:L321"/>
    <mergeCell ref="M320:M321"/>
    <mergeCell ref="N320:N321"/>
    <mergeCell ref="O320:O321"/>
    <mergeCell ref="P320:P321"/>
    <mergeCell ref="Q308:Q309"/>
    <mergeCell ref="A315:A318"/>
    <mergeCell ref="C315:C318"/>
    <mergeCell ref="D315:D318"/>
    <mergeCell ref="E315:E318"/>
    <mergeCell ref="F315:F318"/>
    <mergeCell ref="G315:G318"/>
    <mergeCell ref="H315:H318"/>
    <mergeCell ref="I315:I318"/>
    <mergeCell ref="J315:J318"/>
    <mergeCell ref="K315:K318"/>
    <mergeCell ref="L315:L318"/>
    <mergeCell ref="M315:M318"/>
    <mergeCell ref="N315:N318"/>
    <mergeCell ref="O315:O318"/>
    <mergeCell ref="P315:P318"/>
    <mergeCell ref="Q304:Q305"/>
    <mergeCell ref="A308:A309"/>
    <mergeCell ref="C308:C309"/>
    <mergeCell ref="D308:D309"/>
    <mergeCell ref="E308:E309"/>
    <mergeCell ref="F308:F309"/>
    <mergeCell ref="G308:G309"/>
    <mergeCell ref="H308:H309"/>
    <mergeCell ref="I308:I309"/>
    <mergeCell ref="J308:J309"/>
    <mergeCell ref="K308:K309"/>
    <mergeCell ref="L308:L309"/>
    <mergeCell ref="M308:M309"/>
    <mergeCell ref="N308:N309"/>
    <mergeCell ref="O308:O309"/>
    <mergeCell ref="P308:P309"/>
    <mergeCell ref="Q302:Q303"/>
    <mergeCell ref="A304:A305"/>
    <mergeCell ref="C304:C305"/>
    <mergeCell ref="D304:D305"/>
    <mergeCell ref="E304:E305"/>
    <mergeCell ref="F304:F305"/>
    <mergeCell ref="G304:G305"/>
    <mergeCell ref="H304:H305"/>
    <mergeCell ref="I304:I305"/>
    <mergeCell ref="J304:J305"/>
    <mergeCell ref="K304:K305"/>
    <mergeCell ref="L304:L305"/>
    <mergeCell ref="M304:M305"/>
    <mergeCell ref="N304:N305"/>
    <mergeCell ref="O304:O305"/>
    <mergeCell ref="P304:P305"/>
    <mergeCell ref="Q298:Q299"/>
    <mergeCell ref="A302:A303"/>
    <mergeCell ref="C302:C303"/>
    <mergeCell ref="D302:D303"/>
    <mergeCell ref="E302:E303"/>
    <mergeCell ref="F302:F303"/>
    <mergeCell ref="G302:G303"/>
    <mergeCell ref="H302:H303"/>
    <mergeCell ref="I302:I303"/>
    <mergeCell ref="J302:J303"/>
    <mergeCell ref="K302:K303"/>
    <mergeCell ref="L302:L303"/>
    <mergeCell ref="M302:M303"/>
    <mergeCell ref="N302:N303"/>
    <mergeCell ref="O302:O303"/>
    <mergeCell ref="P302:P303"/>
    <mergeCell ref="Q295:Q297"/>
    <mergeCell ref="A298:A299"/>
    <mergeCell ref="C298:C299"/>
    <mergeCell ref="D298:D299"/>
    <mergeCell ref="E298:E299"/>
    <mergeCell ref="F298:F299"/>
    <mergeCell ref="G298:G299"/>
    <mergeCell ref="H298:H299"/>
    <mergeCell ref="I298:I299"/>
    <mergeCell ref="J298:J299"/>
    <mergeCell ref="K298:K299"/>
    <mergeCell ref="L298:L299"/>
    <mergeCell ref="M298:M299"/>
    <mergeCell ref="N298:N299"/>
    <mergeCell ref="O298:O299"/>
    <mergeCell ref="P298:P299"/>
    <mergeCell ref="Q289:Q290"/>
    <mergeCell ref="A295:A297"/>
    <mergeCell ref="C295:C297"/>
    <mergeCell ref="D295:D297"/>
    <mergeCell ref="E295:E297"/>
    <mergeCell ref="F295:F297"/>
    <mergeCell ref="G295:G297"/>
    <mergeCell ref="H295:H297"/>
    <mergeCell ref="I295:I297"/>
    <mergeCell ref="J295:J297"/>
    <mergeCell ref="K295:K297"/>
    <mergeCell ref="L295:L297"/>
    <mergeCell ref="M295:M297"/>
    <mergeCell ref="N295:N297"/>
    <mergeCell ref="O295:O297"/>
    <mergeCell ref="P295:P297"/>
    <mergeCell ref="Q287:Q288"/>
    <mergeCell ref="A289:A290"/>
    <mergeCell ref="C289:C290"/>
    <mergeCell ref="D289:D290"/>
    <mergeCell ref="E289:E290"/>
    <mergeCell ref="F289:F290"/>
    <mergeCell ref="G289:G290"/>
    <mergeCell ref="H289:H290"/>
    <mergeCell ref="I289:I290"/>
    <mergeCell ref="J289:J290"/>
    <mergeCell ref="K289:K290"/>
    <mergeCell ref="L289:L290"/>
    <mergeCell ref="M289:M290"/>
    <mergeCell ref="N289:N290"/>
    <mergeCell ref="O289:O290"/>
    <mergeCell ref="P289:P290"/>
    <mergeCell ref="Q285:Q286"/>
    <mergeCell ref="A287:A288"/>
    <mergeCell ref="C287:C288"/>
    <mergeCell ref="D287:D288"/>
    <mergeCell ref="E287:E288"/>
    <mergeCell ref="F287:F288"/>
    <mergeCell ref="G287:G288"/>
    <mergeCell ref="H287:H288"/>
    <mergeCell ref="I287:I288"/>
    <mergeCell ref="J287:J288"/>
    <mergeCell ref="K287:K288"/>
    <mergeCell ref="L287:L288"/>
    <mergeCell ref="M287:M288"/>
    <mergeCell ref="N287:N288"/>
    <mergeCell ref="O287:O288"/>
    <mergeCell ref="P287:P288"/>
    <mergeCell ref="Q283:Q284"/>
    <mergeCell ref="A285:A286"/>
    <mergeCell ref="C285:C286"/>
    <mergeCell ref="D285:D286"/>
    <mergeCell ref="E285:E286"/>
    <mergeCell ref="F285:F286"/>
    <mergeCell ref="G285:G286"/>
    <mergeCell ref="H285:H286"/>
    <mergeCell ref="I285:I286"/>
    <mergeCell ref="J285:J286"/>
    <mergeCell ref="K285:K286"/>
    <mergeCell ref="L285:L286"/>
    <mergeCell ref="M285:M286"/>
    <mergeCell ref="N285:N286"/>
    <mergeCell ref="O285:O286"/>
    <mergeCell ref="P285:P286"/>
    <mergeCell ref="Q281:Q282"/>
    <mergeCell ref="A283:A284"/>
    <mergeCell ref="C283:C284"/>
    <mergeCell ref="D283:D284"/>
    <mergeCell ref="E283:E284"/>
    <mergeCell ref="F283:F284"/>
    <mergeCell ref="G283:G284"/>
    <mergeCell ref="H283:H284"/>
    <mergeCell ref="I283:I284"/>
    <mergeCell ref="J283:J284"/>
    <mergeCell ref="K283:K284"/>
    <mergeCell ref="L283:L284"/>
    <mergeCell ref="M283:M284"/>
    <mergeCell ref="N283:N284"/>
    <mergeCell ref="O283:O284"/>
    <mergeCell ref="P283:P284"/>
    <mergeCell ref="Q276:Q280"/>
    <mergeCell ref="A281:A282"/>
    <mergeCell ref="C281:C282"/>
    <mergeCell ref="D281:D282"/>
    <mergeCell ref="E281:E282"/>
    <mergeCell ref="F281:F282"/>
    <mergeCell ref="G281:G282"/>
    <mergeCell ref="H281:H282"/>
    <mergeCell ref="I281:I282"/>
    <mergeCell ref="J281:J282"/>
    <mergeCell ref="K281:K282"/>
    <mergeCell ref="L281:L282"/>
    <mergeCell ref="M281:M282"/>
    <mergeCell ref="N281:N282"/>
    <mergeCell ref="O281:O282"/>
    <mergeCell ref="P281:P282"/>
    <mergeCell ref="Q273:Q275"/>
    <mergeCell ref="A276:A280"/>
    <mergeCell ref="C276:C280"/>
    <mergeCell ref="D276:D280"/>
    <mergeCell ref="E276:E280"/>
    <mergeCell ref="F276:F280"/>
    <mergeCell ref="G276:G280"/>
    <mergeCell ref="H276:H280"/>
    <mergeCell ref="I276:I280"/>
    <mergeCell ref="J276:J280"/>
    <mergeCell ref="K276:K280"/>
    <mergeCell ref="L276:L280"/>
    <mergeCell ref="M276:M280"/>
    <mergeCell ref="N276:N280"/>
    <mergeCell ref="O276:O280"/>
    <mergeCell ref="P276:P280"/>
    <mergeCell ref="Q268:Q271"/>
    <mergeCell ref="A273:A275"/>
    <mergeCell ref="C273:C275"/>
    <mergeCell ref="D273:D275"/>
    <mergeCell ref="E273:E275"/>
    <mergeCell ref="F273:F275"/>
    <mergeCell ref="G273:G275"/>
    <mergeCell ref="H273:H275"/>
    <mergeCell ref="I273:I275"/>
    <mergeCell ref="J273:J275"/>
    <mergeCell ref="K273:K275"/>
    <mergeCell ref="L273:L275"/>
    <mergeCell ref="M273:M275"/>
    <mergeCell ref="N273:N275"/>
    <mergeCell ref="O273:O275"/>
    <mergeCell ref="P273:P275"/>
    <mergeCell ref="Q266:Q267"/>
    <mergeCell ref="A268:A271"/>
    <mergeCell ref="C268:C271"/>
    <mergeCell ref="D268:D271"/>
    <mergeCell ref="E268:E271"/>
    <mergeCell ref="F268:F271"/>
    <mergeCell ref="G268:G271"/>
    <mergeCell ref="H268:H271"/>
    <mergeCell ref="I268:I271"/>
    <mergeCell ref="J268:J271"/>
    <mergeCell ref="K268:K271"/>
    <mergeCell ref="L268:L271"/>
    <mergeCell ref="M268:M271"/>
    <mergeCell ref="N268:N271"/>
    <mergeCell ref="O268:O271"/>
    <mergeCell ref="P268:P271"/>
    <mergeCell ref="Q262:Q264"/>
    <mergeCell ref="A266:A267"/>
    <mergeCell ref="C266:C267"/>
    <mergeCell ref="D266:D267"/>
    <mergeCell ref="E266:E267"/>
    <mergeCell ref="F266:F267"/>
    <mergeCell ref="G266:G267"/>
    <mergeCell ref="H266:H267"/>
    <mergeCell ref="I266:I267"/>
    <mergeCell ref="J266:J267"/>
    <mergeCell ref="K266:K267"/>
    <mergeCell ref="L266:L267"/>
    <mergeCell ref="M266:M267"/>
    <mergeCell ref="N266:N267"/>
    <mergeCell ref="O266:O267"/>
    <mergeCell ref="P266:P267"/>
    <mergeCell ref="Q259:Q260"/>
    <mergeCell ref="A262:A264"/>
    <mergeCell ref="C262:C264"/>
    <mergeCell ref="D262:D264"/>
    <mergeCell ref="E262:E264"/>
    <mergeCell ref="F262:F264"/>
    <mergeCell ref="G262:G264"/>
    <mergeCell ref="H262:H264"/>
    <mergeCell ref="I262:I264"/>
    <mergeCell ref="J262:J264"/>
    <mergeCell ref="K262:K264"/>
    <mergeCell ref="L262:L264"/>
    <mergeCell ref="M262:M264"/>
    <mergeCell ref="N262:N264"/>
    <mergeCell ref="O262:O264"/>
    <mergeCell ref="P262:P264"/>
    <mergeCell ref="Q257:Q258"/>
    <mergeCell ref="A259:A260"/>
    <mergeCell ref="C259:C260"/>
    <mergeCell ref="D259:D260"/>
    <mergeCell ref="E259:E260"/>
    <mergeCell ref="F259:F260"/>
    <mergeCell ref="G259:G260"/>
    <mergeCell ref="H259:H260"/>
    <mergeCell ref="I259:I260"/>
    <mergeCell ref="J259:J260"/>
    <mergeCell ref="K259:K260"/>
    <mergeCell ref="L259:L260"/>
    <mergeCell ref="M259:M260"/>
    <mergeCell ref="N259:N260"/>
    <mergeCell ref="O259:O260"/>
    <mergeCell ref="P259:P260"/>
    <mergeCell ref="Q255:Q256"/>
    <mergeCell ref="A257:A258"/>
    <mergeCell ref="C257:C258"/>
    <mergeCell ref="D257:D258"/>
    <mergeCell ref="E257:E258"/>
    <mergeCell ref="F257:F258"/>
    <mergeCell ref="G257:G258"/>
    <mergeCell ref="H257:H258"/>
    <mergeCell ref="I257:I258"/>
    <mergeCell ref="J257:J258"/>
    <mergeCell ref="K257:K258"/>
    <mergeCell ref="L257:L258"/>
    <mergeCell ref="M257:M258"/>
    <mergeCell ref="N257:N258"/>
    <mergeCell ref="O257:O258"/>
    <mergeCell ref="P257:P258"/>
    <mergeCell ref="Q252:Q253"/>
    <mergeCell ref="A255:A256"/>
    <mergeCell ref="C255:C256"/>
    <mergeCell ref="D255:D256"/>
    <mergeCell ref="E255:E256"/>
    <mergeCell ref="F255:F256"/>
    <mergeCell ref="G255:G256"/>
    <mergeCell ref="H255:H256"/>
    <mergeCell ref="I255:I256"/>
    <mergeCell ref="J255:J256"/>
    <mergeCell ref="K255:K256"/>
    <mergeCell ref="L255:L256"/>
    <mergeCell ref="M255:M256"/>
    <mergeCell ref="N255:N256"/>
    <mergeCell ref="O255:O256"/>
    <mergeCell ref="P255:P256"/>
    <mergeCell ref="Q250:Q251"/>
    <mergeCell ref="A252:A253"/>
    <mergeCell ref="C252:C253"/>
    <mergeCell ref="D252:D253"/>
    <mergeCell ref="E252:E253"/>
    <mergeCell ref="F252:F253"/>
    <mergeCell ref="G252:G253"/>
    <mergeCell ref="H252:H253"/>
    <mergeCell ref="I252:I253"/>
    <mergeCell ref="J252:J253"/>
    <mergeCell ref="K252:K253"/>
    <mergeCell ref="L252:L253"/>
    <mergeCell ref="M252:M253"/>
    <mergeCell ref="N252:N253"/>
    <mergeCell ref="O252:O253"/>
    <mergeCell ref="P252:P253"/>
    <mergeCell ref="Q248:Q249"/>
    <mergeCell ref="A250:A251"/>
    <mergeCell ref="C250:C251"/>
    <mergeCell ref="D250:D251"/>
    <mergeCell ref="E250:E251"/>
    <mergeCell ref="F250:F251"/>
    <mergeCell ref="G250:G251"/>
    <mergeCell ref="H250:H251"/>
    <mergeCell ref="I250:I251"/>
    <mergeCell ref="J250:J251"/>
    <mergeCell ref="K250:K251"/>
    <mergeCell ref="L250:L251"/>
    <mergeCell ref="M250:M251"/>
    <mergeCell ref="N250:N251"/>
    <mergeCell ref="O250:O251"/>
    <mergeCell ref="P250:P251"/>
    <mergeCell ref="Q245:Q246"/>
    <mergeCell ref="A248:A249"/>
    <mergeCell ref="C248:C249"/>
    <mergeCell ref="D248:D249"/>
    <mergeCell ref="E248:E249"/>
    <mergeCell ref="F248:F249"/>
    <mergeCell ref="G248:G249"/>
    <mergeCell ref="H248:H249"/>
    <mergeCell ref="I248:I249"/>
    <mergeCell ref="J248:J249"/>
    <mergeCell ref="K248:K249"/>
    <mergeCell ref="L248:L249"/>
    <mergeCell ref="M248:M249"/>
    <mergeCell ref="N248:N249"/>
    <mergeCell ref="O248:O249"/>
    <mergeCell ref="P248:P249"/>
    <mergeCell ref="Q243:Q244"/>
    <mergeCell ref="A245:A246"/>
    <mergeCell ref="C245:C246"/>
    <mergeCell ref="D245:D246"/>
    <mergeCell ref="E245:E246"/>
    <mergeCell ref="F245:F246"/>
    <mergeCell ref="G245:G246"/>
    <mergeCell ref="H245:H246"/>
    <mergeCell ref="I245:I246"/>
    <mergeCell ref="J245:J246"/>
    <mergeCell ref="K245:K246"/>
    <mergeCell ref="L245:L246"/>
    <mergeCell ref="M245:M246"/>
    <mergeCell ref="N245:N246"/>
    <mergeCell ref="O245:O246"/>
    <mergeCell ref="P245:P246"/>
    <mergeCell ref="Q241:Q242"/>
    <mergeCell ref="A243:A244"/>
    <mergeCell ref="C243:C244"/>
    <mergeCell ref="D243:D244"/>
    <mergeCell ref="E243:E244"/>
    <mergeCell ref="F243:F244"/>
    <mergeCell ref="G243:G244"/>
    <mergeCell ref="H243:H244"/>
    <mergeCell ref="I243:I244"/>
    <mergeCell ref="J243:J244"/>
    <mergeCell ref="K243:K244"/>
    <mergeCell ref="L243:L244"/>
    <mergeCell ref="M243:M244"/>
    <mergeCell ref="N243:N244"/>
    <mergeCell ref="O243:O244"/>
    <mergeCell ref="P243:P244"/>
    <mergeCell ref="Q239:Q240"/>
    <mergeCell ref="A241:A242"/>
    <mergeCell ref="C241:C242"/>
    <mergeCell ref="D241:D242"/>
    <mergeCell ref="E241:E242"/>
    <mergeCell ref="F241:F242"/>
    <mergeCell ref="G241:G242"/>
    <mergeCell ref="H241:H242"/>
    <mergeCell ref="I241:I242"/>
    <mergeCell ref="J241:J242"/>
    <mergeCell ref="K241:K242"/>
    <mergeCell ref="L241:L242"/>
    <mergeCell ref="M241:M242"/>
    <mergeCell ref="N241:N242"/>
    <mergeCell ref="O241:O242"/>
    <mergeCell ref="P241:P242"/>
    <mergeCell ref="Q235:Q237"/>
    <mergeCell ref="A239:A240"/>
    <mergeCell ref="C239:C240"/>
    <mergeCell ref="D239:D240"/>
    <mergeCell ref="E239:E240"/>
    <mergeCell ref="F239:F240"/>
    <mergeCell ref="G239:G240"/>
    <mergeCell ref="H239:H240"/>
    <mergeCell ref="I239:I240"/>
    <mergeCell ref="J239:J240"/>
    <mergeCell ref="K239:K240"/>
    <mergeCell ref="L239:L240"/>
    <mergeCell ref="M239:M240"/>
    <mergeCell ref="N239:N240"/>
    <mergeCell ref="O239:O240"/>
    <mergeCell ref="P239:P240"/>
    <mergeCell ref="Q231:Q233"/>
    <mergeCell ref="A235:A237"/>
    <mergeCell ref="C235:C237"/>
    <mergeCell ref="D235:D237"/>
    <mergeCell ref="E235:E237"/>
    <mergeCell ref="F235:F237"/>
    <mergeCell ref="G235:G237"/>
    <mergeCell ref="H235:H237"/>
    <mergeCell ref="I235:I237"/>
    <mergeCell ref="J235:J237"/>
    <mergeCell ref="K235:K237"/>
    <mergeCell ref="L235:L237"/>
    <mergeCell ref="M235:M237"/>
    <mergeCell ref="N235:N237"/>
    <mergeCell ref="O235:O237"/>
    <mergeCell ref="P235:P237"/>
    <mergeCell ref="Q229:Q230"/>
    <mergeCell ref="A231:A233"/>
    <mergeCell ref="C231:C233"/>
    <mergeCell ref="D231:D233"/>
    <mergeCell ref="E231:E233"/>
    <mergeCell ref="F231:F233"/>
    <mergeCell ref="G231:G233"/>
    <mergeCell ref="H231:H233"/>
    <mergeCell ref="I231:I233"/>
    <mergeCell ref="J231:J233"/>
    <mergeCell ref="K231:K233"/>
    <mergeCell ref="L231:L233"/>
    <mergeCell ref="M231:M233"/>
    <mergeCell ref="N231:N233"/>
    <mergeCell ref="O231:O233"/>
    <mergeCell ref="P231:P233"/>
    <mergeCell ref="Q226:Q227"/>
    <mergeCell ref="A229:A230"/>
    <mergeCell ref="C229:C230"/>
    <mergeCell ref="D229:D230"/>
    <mergeCell ref="E229:E230"/>
    <mergeCell ref="F229:F230"/>
    <mergeCell ref="G229:G230"/>
    <mergeCell ref="H229:H230"/>
    <mergeCell ref="I229:I230"/>
    <mergeCell ref="J229:J230"/>
    <mergeCell ref="K229:K230"/>
    <mergeCell ref="L229:L230"/>
    <mergeCell ref="M229:M230"/>
    <mergeCell ref="N229:N230"/>
    <mergeCell ref="O229:O230"/>
    <mergeCell ref="P229:P230"/>
    <mergeCell ref="Q224:Q225"/>
    <mergeCell ref="A226:A227"/>
    <mergeCell ref="C226:C227"/>
    <mergeCell ref="D226:D227"/>
    <mergeCell ref="E226:E227"/>
    <mergeCell ref="F226:F227"/>
    <mergeCell ref="G226:G227"/>
    <mergeCell ref="H226:H227"/>
    <mergeCell ref="I226:I227"/>
    <mergeCell ref="J226:J227"/>
    <mergeCell ref="K226:K227"/>
    <mergeCell ref="L226:L227"/>
    <mergeCell ref="M226:M227"/>
    <mergeCell ref="N226:N227"/>
    <mergeCell ref="O226:O227"/>
    <mergeCell ref="P226:P227"/>
    <mergeCell ref="Q222:Q223"/>
    <mergeCell ref="A224:A225"/>
    <mergeCell ref="C224:C225"/>
    <mergeCell ref="D224:D225"/>
    <mergeCell ref="E224:E225"/>
    <mergeCell ref="F224:F225"/>
    <mergeCell ref="G224:G225"/>
    <mergeCell ref="H224:H225"/>
    <mergeCell ref="I224:I225"/>
    <mergeCell ref="J224:J225"/>
    <mergeCell ref="K224:K225"/>
    <mergeCell ref="L224:L225"/>
    <mergeCell ref="M224:M225"/>
    <mergeCell ref="N224:N225"/>
    <mergeCell ref="O224:O225"/>
    <mergeCell ref="P224:P225"/>
    <mergeCell ref="Q220:Q221"/>
    <mergeCell ref="A222:A223"/>
    <mergeCell ref="C222:C223"/>
    <mergeCell ref="D222:D223"/>
    <mergeCell ref="E222:E223"/>
    <mergeCell ref="F222:F223"/>
    <mergeCell ref="G222:G223"/>
    <mergeCell ref="H222:H223"/>
    <mergeCell ref="I222:I223"/>
    <mergeCell ref="J222:J223"/>
    <mergeCell ref="K222:K223"/>
    <mergeCell ref="L222:L223"/>
    <mergeCell ref="M222:M223"/>
    <mergeCell ref="N222:N223"/>
    <mergeCell ref="O222:O223"/>
    <mergeCell ref="P222:P223"/>
    <mergeCell ref="Q217:Q219"/>
    <mergeCell ref="A220:A221"/>
    <mergeCell ref="C220:C221"/>
    <mergeCell ref="D220:D221"/>
    <mergeCell ref="E220:E221"/>
    <mergeCell ref="F220:F221"/>
    <mergeCell ref="G220:G221"/>
    <mergeCell ref="H220:H221"/>
    <mergeCell ref="I220:I221"/>
    <mergeCell ref="J220:J221"/>
    <mergeCell ref="K220:K221"/>
    <mergeCell ref="L220:L221"/>
    <mergeCell ref="M220:M221"/>
    <mergeCell ref="N220:N221"/>
    <mergeCell ref="O220:O221"/>
    <mergeCell ref="P220:P221"/>
    <mergeCell ref="Q214:Q215"/>
    <mergeCell ref="A217:A219"/>
    <mergeCell ref="C217:C219"/>
    <mergeCell ref="D217:D219"/>
    <mergeCell ref="E217:E219"/>
    <mergeCell ref="F217:F219"/>
    <mergeCell ref="G217:G219"/>
    <mergeCell ref="H217:H219"/>
    <mergeCell ref="I217:I219"/>
    <mergeCell ref="J217:J219"/>
    <mergeCell ref="K217:K219"/>
    <mergeCell ref="L217:L219"/>
    <mergeCell ref="M217:M219"/>
    <mergeCell ref="N217:N219"/>
    <mergeCell ref="O217:O219"/>
    <mergeCell ref="P217:P219"/>
    <mergeCell ref="Q211:Q212"/>
    <mergeCell ref="A214:A215"/>
    <mergeCell ref="C214:C215"/>
    <mergeCell ref="D214:D215"/>
    <mergeCell ref="E214:E215"/>
    <mergeCell ref="F214:F215"/>
    <mergeCell ref="G214:G215"/>
    <mergeCell ref="H214:H215"/>
    <mergeCell ref="I214:I215"/>
    <mergeCell ref="J214:J215"/>
    <mergeCell ref="K214:K215"/>
    <mergeCell ref="L214:L215"/>
    <mergeCell ref="M214:M215"/>
    <mergeCell ref="N214:N215"/>
    <mergeCell ref="O214:O215"/>
    <mergeCell ref="P214:P215"/>
    <mergeCell ref="Q209:Q210"/>
    <mergeCell ref="A211:A212"/>
    <mergeCell ref="C211:C212"/>
    <mergeCell ref="D211:D212"/>
    <mergeCell ref="E211:E212"/>
    <mergeCell ref="F211:F212"/>
    <mergeCell ref="G211:G212"/>
    <mergeCell ref="H211:H212"/>
    <mergeCell ref="I211:I212"/>
    <mergeCell ref="J211:J212"/>
    <mergeCell ref="K211:K212"/>
    <mergeCell ref="L211:L212"/>
    <mergeCell ref="M211:M212"/>
    <mergeCell ref="N211:N212"/>
    <mergeCell ref="O211:O212"/>
    <mergeCell ref="P211:P212"/>
    <mergeCell ref="Q206:Q207"/>
    <mergeCell ref="A209:A210"/>
    <mergeCell ref="C209:C210"/>
    <mergeCell ref="D209:D210"/>
    <mergeCell ref="E209:E210"/>
    <mergeCell ref="F209:F210"/>
    <mergeCell ref="G209:G210"/>
    <mergeCell ref="H209:H210"/>
    <mergeCell ref="I209:I210"/>
    <mergeCell ref="J209:J210"/>
    <mergeCell ref="K209:K210"/>
    <mergeCell ref="L209:L210"/>
    <mergeCell ref="M209:M210"/>
    <mergeCell ref="N209:N210"/>
    <mergeCell ref="O209:O210"/>
    <mergeCell ref="P209:P210"/>
    <mergeCell ref="Q204:Q205"/>
    <mergeCell ref="A206:A207"/>
    <mergeCell ref="C206:C207"/>
    <mergeCell ref="D206:D207"/>
    <mergeCell ref="E206:E207"/>
    <mergeCell ref="F206:F207"/>
    <mergeCell ref="G206:G207"/>
    <mergeCell ref="H206:H207"/>
    <mergeCell ref="I206:I207"/>
    <mergeCell ref="J206:J207"/>
    <mergeCell ref="K206:K207"/>
    <mergeCell ref="L206:L207"/>
    <mergeCell ref="M206:M207"/>
    <mergeCell ref="N206:N207"/>
    <mergeCell ref="O206:O207"/>
    <mergeCell ref="P206:P207"/>
    <mergeCell ref="Q202:Q203"/>
    <mergeCell ref="A204:A205"/>
    <mergeCell ref="C204:C205"/>
    <mergeCell ref="D204:D205"/>
    <mergeCell ref="E204:E205"/>
    <mergeCell ref="F204:F205"/>
    <mergeCell ref="G204:G205"/>
    <mergeCell ref="H204:H205"/>
    <mergeCell ref="I204:I205"/>
    <mergeCell ref="J204:J205"/>
    <mergeCell ref="K204:K205"/>
    <mergeCell ref="L204:L205"/>
    <mergeCell ref="M204:M205"/>
    <mergeCell ref="N204:N205"/>
    <mergeCell ref="O204:O205"/>
    <mergeCell ref="P204:P205"/>
    <mergeCell ref="Q197:Q198"/>
    <mergeCell ref="A202:A203"/>
    <mergeCell ref="C202:C203"/>
    <mergeCell ref="D202:D203"/>
    <mergeCell ref="E202:E203"/>
    <mergeCell ref="F202:F203"/>
    <mergeCell ref="G202:G203"/>
    <mergeCell ref="H202:H203"/>
    <mergeCell ref="I202:I203"/>
    <mergeCell ref="J202:J203"/>
    <mergeCell ref="K202:K203"/>
    <mergeCell ref="L202:L203"/>
    <mergeCell ref="M202:M203"/>
    <mergeCell ref="N202:N203"/>
    <mergeCell ref="O202:O203"/>
    <mergeCell ref="P202:P203"/>
    <mergeCell ref="Q193:Q194"/>
    <mergeCell ref="A197:A198"/>
    <mergeCell ref="C197:C198"/>
    <mergeCell ref="D197:D198"/>
    <mergeCell ref="E197:E198"/>
    <mergeCell ref="F197:F198"/>
    <mergeCell ref="G197:G198"/>
    <mergeCell ref="H197:H198"/>
    <mergeCell ref="I197:I198"/>
    <mergeCell ref="J197:J198"/>
    <mergeCell ref="K197:K198"/>
    <mergeCell ref="L197:L198"/>
    <mergeCell ref="M197:M198"/>
    <mergeCell ref="N197:N198"/>
    <mergeCell ref="O197:O198"/>
    <mergeCell ref="P197:P198"/>
    <mergeCell ref="Q190:Q191"/>
    <mergeCell ref="A193:A194"/>
    <mergeCell ref="C193:C194"/>
    <mergeCell ref="D193:D194"/>
    <mergeCell ref="E193:E194"/>
    <mergeCell ref="F193:F194"/>
    <mergeCell ref="G193:G194"/>
    <mergeCell ref="H193:H194"/>
    <mergeCell ref="I193:I194"/>
    <mergeCell ref="J193:J194"/>
    <mergeCell ref="K193:K194"/>
    <mergeCell ref="L193:L194"/>
    <mergeCell ref="M193:M194"/>
    <mergeCell ref="N193:N194"/>
    <mergeCell ref="O193:O194"/>
    <mergeCell ref="P193:P194"/>
    <mergeCell ref="Q188:Q189"/>
    <mergeCell ref="A190:A191"/>
    <mergeCell ref="C190:C191"/>
    <mergeCell ref="D190:D191"/>
    <mergeCell ref="E190:E191"/>
    <mergeCell ref="F190:F191"/>
    <mergeCell ref="G190:G191"/>
    <mergeCell ref="H190:H191"/>
    <mergeCell ref="I190:I191"/>
    <mergeCell ref="J190:J191"/>
    <mergeCell ref="K190:K191"/>
    <mergeCell ref="L190:L191"/>
    <mergeCell ref="M190:M191"/>
    <mergeCell ref="N190:N191"/>
    <mergeCell ref="O190:O191"/>
    <mergeCell ref="P190:P191"/>
    <mergeCell ref="Q186:Q187"/>
    <mergeCell ref="A188:A189"/>
    <mergeCell ref="C188:C189"/>
    <mergeCell ref="D188:D189"/>
    <mergeCell ref="E188:E189"/>
    <mergeCell ref="F188:F189"/>
    <mergeCell ref="G188:G189"/>
    <mergeCell ref="H188:H189"/>
    <mergeCell ref="I188:I189"/>
    <mergeCell ref="J188:J189"/>
    <mergeCell ref="K188:K189"/>
    <mergeCell ref="L188:L189"/>
    <mergeCell ref="M188:M189"/>
    <mergeCell ref="N188:N189"/>
    <mergeCell ref="O188:O189"/>
    <mergeCell ref="P188:P189"/>
    <mergeCell ref="Q181:Q184"/>
    <mergeCell ref="A186:A187"/>
    <mergeCell ref="C186:C187"/>
    <mergeCell ref="D186:D187"/>
    <mergeCell ref="E186:E187"/>
    <mergeCell ref="F186:F187"/>
    <mergeCell ref="G186:G187"/>
    <mergeCell ref="H186:H187"/>
    <mergeCell ref="I186:I187"/>
    <mergeCell ref="J186:J187"/>
    <mergeCell ref="K186:K187"/>
    <mergeCell ref="L186:L187"/>
    <mergeCell ref="M186:M187"/>
    <mergeCell ref="N186:N187"/>
    <mergeCell ref="O186:O187"/>
    <mergeCell ref="P186:P187"/>
    <mergeCell ref="Q177:Q180"/>
    <mergeCell ref="A181:A184"/>
    <mergeCell ref="C181:C184"/>
    <mergeCell ref="D181:D184"/>
    <mergeCell ref="E181:E184"/>
    <mergeCell ref="F181:F184"/>
    <mergeCell ref="G181:G184"/>
    <mergeCell ref="H181:H184"/>
    <mergeCell ref="I181:I184"/>
    <mergeCell ref="J181:J184"/>
    <mergeCell ref="K181:K184"/>
    <mergeCell ref="L181:L184"/>
    <mergeCell ref="M181:M184"/>
    <mergeCell ref="N181:N184"/>
    <mergeCell ref="O181:O184"/>
    <mergeCell ref="P181:P184"/>
    <mergeCell ref="Q175:Q176"/>
    <mergeCell ref="A177:A180"/>
    <mergeCell ref="C177:C180"/>
    <mergeCell ref="D177:D180"/>
    <mergeCell ref="E177:E180"/>
    <mergeCell ref="F177:F180"/>
    <mergeCell ref="G177:G180"/>
    <mergeCell ref="H177:H180"/>
    <mergeCell ref="I177:I180"/>
    <mergeCell ref="J177:J180"/>
    <mergeCell ref="K177:K180"/>
    <mergeCell ref="L177:L180"/>
    <mergeCell ref="M177:M180"/>
    <mergeCell ref="N177:N180"/>
    <mergeCell ref="O177:O180"/>
    <mergeCell ref="P177:P180"/>
    <mergeCell ref="Q170:Q174"/>
    <mergeCell ref="A175:A176"/>
    <mergeCell ref="C175:C176"/>
    <mergeCell ref="D175:D176"/>
    <mergeCell ref="E175:E176"/>
    <mergeCell ref="F175:F176"/>
    <mergeCell ref="G175:G176"/>
    <mergeCell ref="H175:H176"/>
    <mergeCell ref="I175:I176"/>
    <mergeCell ref="J175:J176"/>
    <mergeCell ref="K175:K176"/>
    <mergeCell ref="L175:L176"/>
    <mergeCell ref="M175:M176"/>
    <mergeCell ref="N175:N176"/>
    <mergeCell ref="O175:O176"/>
    <mergeCell ref="P175:P176"/>
    <mergeCell ref="Q163:Q165"/>
    <mergeCell ref="A170:A174"/>
    <mergeCell ref="C170:C174"/>
    <mergeCell ref="D170:D174"/>
    <mergeCell ref="E170:E174"/>
    <mergeCell ref="F170:F174"/>
    <mergeCell ref="G170:G174"/>
    <mergeCell ref="H170:H174"/>
    <mergeCell ref="I170:I174"/>
    <mergeCell ref="J170:J174"/>
    <mergeCell ref="K170:K174"/>
    <mergeCell ref="L170:L174"/>
    <mergeCell ref="M170:M174"/>
    <mergeCell ref="N170:N174"/>
    <mergeCell ref="O170:O174"/>
    <mergeCell ref="P170:P174"/>
    <mergeCell ref="Q157:Q162"/>
    <mergeCell ref="A163:A165"/>
    <mergeCell ref="C163:C165"/>
    <mergeCell ref="D163:D165"/>
    <mergeCell ref="E163:E165"/>
    <mergeCell ref="F163:F165"/>
    <mergeCell ref="G163:G165"/>
    <mergeCell ref="H163:H165"/>
    <mergeCell ref="I163:I165"/>
    <mergeCell ref="J163:J165"/>
    <mergeCell ref="K163:K165"/>
    <mergeCell ref="L163:L165"/>
    <mergeCell ref="M163:M165"/>
    <mergeCell ref="N163:N165"/>
    <mergeCell ref="O163:O165"/>
    <mergeCell ref="P163:P165"/>
    <mergeCell ref="Q154:Q156"/>
    <mergeCell ref="A157:A162"/>
    <mergeCell ref="C157:C162"/>
    <mergeCell ref="D157:D162"/>
    <mergeCell ref="E157:E162"/>
    <mergeCell ref="F157:F162"/>
    <mergeCell ref="G157:G162"/>
    <mergeCell ref="H157:H162"/>
    <mergeCell ref="I157:I162"/>
    <mergeCell ref="J157:J162"/>
    <mergeCell ref="K157:K162"/>
    <mergeCell ref="L157:L162"/>
    <mergeCell ref="M157:M162"/>
    <mergeCell ref="N157:N162"/>
    <mergeCell ref="O157:O162"/>
    <mergeCell ref="P157:P162"/>
    <mergeCell ref="Q150:Q153"/>
    <mergeCell ref="A154:A156"/>
    <mergeCell ref="C154:C156"/>
    <mergeCell ref="D154:D156"/>
    <mergeCell ref="E154:E156"/>
    <mergeCell ref="F154:F156"/>
    <mergeCell ref="G154:G156"/>
    <mergeCell ref="H154:H156"/>
    <mergeCell ref="I154:I156"/>
    <mergeCell ref="J154:J156"/>
    <mergeCell ref="K154:K156"/>
    <mergeCell ref="L154:L156"/>
    <mergeCell ref="M154:M156"/>
    <mergeCell ref="N154:N156"/>
    <mergeCell ref="O154:O156"/>
    <mergeCell ref="P154:P156"/>
    <mergeCell ref="Q146:Q149"/>
    <mergeCell ref="A150:A153"/>
    <mergeCell ref="C150:C153"/>
    <mergeCell ref="D150:D153"/>
    <mergeCell ref="E150:E153"/>
    <mergeCell ref="F150:F153"/>
    <mergeCell ref="G150:G153"/>
    <mergeCell ref="H150:H153"/>
    <mergeCell ref="I150:I153"/>
    <mergeCell ref="J150:J153"/>
    <mergeCell ref="K150:K153"/>
    <mergeCell ref="L150:L153"/>
    <mergeCell ref="M150:M153"/>
    <mergeCell ref="N150:N153"/>
    <mergeCell ref="O150:O153"/>
    <mergeCell ref="P150:P153"/>
    <mergeCell ref="Q142:Q145"/>
    <mergeCell ref="A146:A149"/>
    <mergeCell ref="C146:C149"/>
    <mergeCell ref="D146:D149"/>
    <mergeCell ref="E146:E149"/>
    <mergeCell ref="F146:F149"/>
    <mergeCell ref="G146:G149"/>
    <mergeCell ref="H146:H149"/>
    <mergeCell ref="I146:I149"/>
    <mergeCell ref="J146:J149"/>
    <mergeCell ref="K146:K149"/>
    <mergeCell ref="L146:L149"/>
    <mergeCell ref="M146:M149"/>
    <mergeCell ref="N146:N149"/>
    <mergeCell ref="O146:O149"/>
    <mergeCell ref="P146:P149"/>
    <mergeCell ref="Q139:Q140"/>
    <mergeCell ref="A142:A145"/>
    <mergeCell ref="C142:C145"/>
    <mergeCell ref="D142:D145"/>
    <mergeCell ref="E142:E145"/>
    <mergeCell ref="F142:F145"/>
    <mergeCell ref="G142:G145"/>
    <mergeCell ref="H142:H145"/>
    <mergeCell ref="I142:I145"/>
    <mergeCell ref="J142:J145"/>
    <mergeCell ref="K142:K145"/>
    <mergeCell ref="L142:L145"/>
    <mergeCell ref="M142:M145"/>
    <mergeCell ref="N142:N145"/>
    <mergeCell ref="O142:O145"/>
    <mergeCell ref="P142:P145"/>
    <mergeCell ref="Q136:Q138"/>
    <mergeCell ref="A139:A140"/>
    <mergeCell ref="C139:C140"/>
    <mergeCell ref="D139:D140"/>
    <mergeCell ref="E139:E140"/>
    <mergeCell ref="F139:F140"/>
    <mergeCell ref="G139:G140"/>
    <mergeCell ref="H139:H140"/>
    <mergeCell ref="I139:I140"/>
    <mergeCell ref="J139:J140"/>
    <mergeCell ref="K139:K140"/>
    <mergeCell ref="L139:L140"/>
    <mergeCell ref="M139:M140"/>
    <mergeCell ref="N139:N140"/>
    <mergeCell ref="O139:O140"/>
    <mergeCell ref="P139:P140"/>
    <mergeCell ref="Q132:Q133"/>
    <mergeCell ref="A136:A138"/>
    <mergeCell ref="C136:C138"/>
    <mergeCell ref="D136:D138"/>
    <mergeCell ref="E136:E138"/>
    <mergeCell ref="F136:F138"/>
    <mergeCell ref="G136:G138"/>
    <mergeCell ref="H136:H138"/>
    <mergeCell ref="I136:I138"/>
    <mergeCell ref="J136:J138"/>
    <mergeCell ref="K136:K138"/>
    <mergeCell ref="L136:L138"/>
    <mergeCell ref="M136:M138"/>
    <mergeCell ref="N136:N138"/>
    <mergeCell ref="O136:O138"/>
    <mergeCell ref="P136:P138"/>
    <mergeCell ref="Q123:Q130"/>
    <mergeCell ref="A132:A133"/>
    <mergeCell ref="C132:C133"/>
    <mergeCell ref="D132:D133"/>
    <mergeCell ref="E132:E133"/>
    <mergeCell ref="F132:F133"/>
    <mergeCell ref="G132:G133"/>
    <mergeCell ref="H132:H133"/>
    <mergeCell ref="I132:I133"/>
    <mergeCell ref="J132:J133"/>
    <mergeCell ref="K132:K133"/>
    <mergeCell ref="L132:L133"/>
    <mergeCell ref="M132:M133"/>
    <mergeCell ref="N132:N133"/>
    <mergeCell ref="O132:O133"/>
    <mergeCell ref="P132:P133"/>
    <mergeCell ref="Q120:Q122"/>
    <mergeCell ref="A123:A130"/>
    <mergeCell ref="C123:C130"/>
    <mergeCell ref="D123:D130"/>
    <mergeCell ref="E123:E130"/>
    <mergeCell ref="F123:F130"/>
    <mergeCell ref="G123:G130"/>
    <mergeCell ref="H123:H130"/>
    <mergeCell ref="I123:I130"/>
    <mergeCell ref="J123:J130"/>
    <mergeCell ref="K123:K130"/>
    <mergeCell ref="L123:L130"/>
    <mergeCell ref="M123:M130"/>
    <mergeCell ref="N123:N130"/>
    <mergeCell ref="O123:O130"/>
    <mergeCell ref="P123:P130"/>
    <mergeCell ref="Q115:Q119"/>
    <mergeCell ref="A120:A122"/>
    <mergeCell ref="C120:C122"/>
    <mergeCell ref="D120:D122"/>
    <mergeCell ref="E120:E122"/>
    <mergeCell ref="F120:F122"/>
    <mergeCell ref="G120:G122"/>
    <mergeCell ref="H120:H122"/>
    <mergeCell ref="I120:I122"/>
    <mergeCell ref="J120:J122"/>
    <mergeCell ref="K120:K122"/>
    <mergeCell ref="L120:L122"/>
    <mergeCell ref="M120:M122"/>
    <mergeCell ref="N120:N122"/>
    <mergeCell ref="O120:O122"/>
    <mergeCell ref="P120:P122"/>
    <mergeCell ref="Q110:Q113"/>
    <mergeCell ref="A115:A119"/>
    <mergeCell ref="C115:C119"/>
    <mergeCell ref="D115:D119"/>
    <mergeCell ref="E115:E119"/>
    <mergeCell ref="F115:F119"/>
    <mergeCell ref="G115:G119"/>
    <mergeCell ref="H115:H119"/>
    <mergeCell ref="I115:I119"/>
    <mergeCell ref="J115:J119"/>
    <mergeCell ref="K115:K119"/>
    <mergeCell ref="L115:L119"/>
    <mergeCell ref="M115:M119"/>
    <mergeCell ref="N115:N119"/>
    <mergeCell ref="O115:O119"/>
    <mergeCell ref="P115:P119"/>
    <mergeCell ref="Q107:Q109"/>
    <mergeCell ref="A110:A113"/>
    <mergeCell ref="C110:C113"/>
    <mergeCell ref="D110:D113"/>
    <mergeCell ref="E110:E113"/>
    <mergeCell ref="F110:F113"/>
    <mergeCell ref="G110:G113"/>
    <mergeCell ref="H110:H113"/>
    <mergeCell ref="I110:I113"/>
    <mergeCell ref="J110:J113"/>
    <mergeCell ref="K110:K113"/>
    <mergeCell ref="L110:L113"/>
    <mergeCell ref="M110:M113"/>
    <mergeCell ref="N110:N113"/>
    <mergeCell ref="O110:O113"/>
    <mergeCell ref="P110:P113"/>
    <mergeCell ref="Q103:Q106"/>
    <mergeCell ref="A107:A109"/>
    <mergeCell ref="C107:C109"/>
    <mergeCell ref="D107:D109"/>
    <mergeCell ref="E107:E109"/>
    <mergeCell ref="F107:F109"/>
    <mergeCell ref="G107:G109"/>
    <mergeCell ref="H107:H109"/>
    <mergeCell ref="I107:I109"/>
    <mergeCell ref="J107:J109"/>
    <mergeCell ref="K107:K109"/>
    <mergeCell ref="L107:L109"/>
    <mergeCell ref="M107:M109"/>
    <mergeCell ref="N107:N109"/>
    <mergeCell ref="O107:O109"/>
    <mergeCell ref="P107:P109"/>
    <mergeCell ref="Q99:Q102"/>
    <mergeCell ref="A103:A106"/>
    <mergeCell ref="C103:C106"/>
    <mergeCell ref="D103:D106"/>
    <mergeCell ref="E103:E106"/>
    <mergeCell ref="F103:F106"/>
    <mergeCell ref="G103:G106"/>
    <mergeCell ref="H103:H106"/>
    <mergeCell ref="I103:I106"/>
    <mergeCell ref="J103:J106"/>
    <mergeCell ref="K103:K106"/>
    <mergeCell ref="L103:L106"/>
    <mergeCell ref="M103:M106"/>
    <mergeCell ref="N103:N106"/>
    <mergeCell ref="O103:O106"/>
    <mergeCell ref="P103:P106"/>
    <mergeCell ref="Q95:Q98"/>
    <mergeCell ref="A99:A102"/>
    <mergeCell ref="C99:C102"/>
    <mergeCell ref="D99:D102"/>
    <mergeCell ref="E99:E102"/>
    <mergeCell ref="F99:F102"/>
    <mergeCell ref="G99:G102"/>
    <mergeCell ref="H99:H102"/>
    <mergeCell ref="I99:I102"/>
    <mergeCell ref="J99:J102"/>
    <mergeCell ref="K99:K102"/>
    <mergeCell ref="L99:L102"/>
    <mergeCell ref="M99:M102"/>
    <mergeCell ref="N99:N102"/>
    <mergeCell ref="O99:O102"/>
    <mergeCell ref="P99:P102"/>
    <mergeCell ref="Q90:Q92"/>
    <mergeCell ref="A95:A98"/>
    <mergeCell ref="C95:C98"/>
    <mergeCell ref="D95:D98"/>
    <mergeCell ref="E95:E98"/>
    <mergeCell ref="F95:F98"/>
    <mergeCell ref="G95:G98"/>
    <mergeCell ref="H95:H98"/>
    <mergeCell ref="I95:I98"/>
    <mergeCell ref="J95:J98"/>
    <mergeCell ref="K95:K98"/>
    <mergeCell ref="L95:L98"/>
    <mergeCell ref="M95:M98"/>
    <mergeCell ref="N95:N98"/>
    <mergeCell ref="O95:O98"/>
    <mergeCell ref="P95:P98"/>
    <mergeCell ref="Q83:Q84"/>
    <mergeCell ref="A90:A92"/>
    <mergeCell ref="C90:C92"/>
    <mergeCell ref="D90:D92"/>
    <mergeCell ref="E90:E92"/>
    <mergeCell ref="F90:F92"/>
    <mergeCell ref="G90:G92"/>
    <mergeCell ref="H90:H92"/>
    <mergeCell ref="I90:I92"/>
    <mergeCell ref="J90:J92"/>
    <mergeCell ref="K90:K92"/>
    <mergeCell ref="L90:L92"/>
    <mergeCell ref="M90:M92"/>
    <mergeCell ref="N90:N92"/>
    <mergeCell ref="O90:O92"/>
    <mergeCell ref="P90:P92"/>
    <mergeCell ref="Q80:Q81"/>
    <mergeCell ref="A83:A84"/>
    <mergeCell ref="C83:C84"/>
    <mergeCell ref="D83:D84"/>
    <mergeCell ref="E83:E84"/>
    <mergeCell ref="F83:F84"/>
    <mergeCell ref="G83:G84"/>
    <mergeCell ref="H83:H84"/>
    <mergeCell ref="I83:I84"/>
    <mergeCell ref="J83:J84"/>
    <mergeCell ref="K83:K84"/>
    <mergeCell ref="L83:L84"/>
    <mergeCell ref="M83:M84"/>
    <mergeCell ref="N83:N84"/>
    <mergeCell ref="O83:O84"/>
    <mergeCell ref="P83:P84"/>
    <mergeCell ref="Q73:Q76"/>
    <mergeCell ref="A80:A81"/>
    <mergeCell ref="C80:C81"/>
    <mergeCell ref="D80:D81"/>
    <mergeCell ref="E80:E81"/>
    <mergeCell ref="F80:F81"/>
    <mergeCell ref="G80:G81"/>
    <mergeCell ref="H80:H81"/>
    <mergeCell ref="I80:I81"/>
    <mergeCell ref="J80:J81"/>
    <mergeCell ref="K80:K81"/>
    <mergeCell ref="L80:L81"/>
    <mergeCell ref="M80:M81"/>
    <mergeCell ref="N80:N81"/>
    <mergeCell ref="O80:O81"/>
    <mergeCell ref="P80:P81"/>
    <mergeCell ref="Q70:Q71"/>
    <mergeCell ref="A73:A76"/>
    <mergeCell ref="C73:C76"/>
    <mergeCell ref="D73:D76"/>
    <mergeCell ref="E73:E76"/>
    <mergeCell ref="F73:F76"/>
    <mergeCell ref="G73:G76"/>
    <mergeCell ref="H73:H76"/>
    <mergeCell ref="I73:I76"/>
    <mergeCell ref="J73:J76"/>
    <mergeCell ref="K73:K76"/>
    <mergeCell ref="L73:L76"/>
    <mergeCell ref="M73:M76"/>
    <mergeCell ref="N73:N76"/>
    <mergeCell ref="O73:O76"/>
    <mergeCell ref="P73:P76"/>
    <mergeCell ref="Q68:Q69"/>
    <mergeCell ref="A70:A71"/>
    <mergeCell ref="C70:C71"/>
    <mergeCell ref="D70:D71"/>
    <mergeCell ref="E70:E71"/>
    <mergeCell ref="F70:F71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66:Q67"/>
    <mergeCell ref="A68:A69"/>
    <mergeCell ref="C68:C69"/>
    <mergeCell ref="D68:D69"/>
    <mergeCell ref="E68:E69"/>
    <mergeCell ref="F68:F69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4:Q65"/>
    <mergeCell ref="A66:A67"/>
    <mergeCell ref="C66:C67"/>
    <mergeCell ref="D66:D67"/>
    <mergeCell ref="E66:E67"/>
    <mergeCell ref="F66:F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2:Q63"/>
    <mergeCell ref="A64:A65"/>
    <mergeCell ref="C64:C65"/>
    <mergeCell ref="D64:D65"/>
    <mergeCell ref="E64:E65"/>
    <mergeCell ref="F64:F65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56:Q61"/>
    <mergeCell ref="A62:A63"/>
    <mergeCell ref="C62:C63"/>
    <mergeCell ref="D62:D63"/>
    <mergeCell ref="E62:E63"/>
    <mergeCell ref="F62:F63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54:Q55"/>
    <mergeCell ref="A56:A61"/>
    <mergeCell ref="C56:C61"/>
    <mergeCell ref="D56:D61"/>
    <mergeCell ref="E56:E61"/>
    <mergeCell ref="F56:F61"/>
    <mergeCell ref="G56:G61"/>
    <mergeCell ref="H56:H61"/>
    <mergeCell ref="I56:I61"/>
    <mergeCell ref="J56:J61"/>
    <mergeCell ref="K56:K61"/>
    <mergeCell ref="L56:L61"/>
    <mergeCell ref="M56:M61"/>
    <mergeCell ref="N56:N61"/>
    <mergeCell ref="O56:O61"/>
    <mergeCell ref="P56:P61"/>
    <mergeCell ref="Q51:Q53"/>
    <mergeCell ref="A54:A55"/>
    <mergeCell ref="C54:C55"/>
    <mergeCell ref="D54:D55"/>
    <mergeCell ref="E54:E55"/>
    <mergeCell ref="F54:F55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48:Q50"/>
    <mergeCell ref="A51:A53"/>
    <mergeCell ref="C51:C53"/>
    <mergeCell ref="D51:D53"/>
    <mergeCell ref="E51:E53"/>
    <mergeCell ref="F51:F53"/>
    <mergeCell ref="G51:G53"/>
    <mergeCell ref="H51:H53"/>
    <mergeCell ref="I51:I53"/>
    <mergeCell ref="J51:J53"/>
    <mergeCell ref="K51:K53"/>
    <mergeCell ref="L51:L53"/>
    <mergeCell ref="M51:M53"/>
    <mergeCell ref="N51:N53"/>
    <mergeCell ref="O51:O53"/>
    <mergeCell ref="P51:P53"/>
    <mergeCell ref="Q43:Q45"/>
    <mergeCell ref="A48:A50"/>
    <mergeCell ref="C48:C50"/>
    <mergeCell ref="D48:D50"/>
    <mergeCell ref="E48:E50"/>
    <mergeCell ref="F48:F50"/>
    <mergeCell ref="G48:G50"/>
    <mergeCell ref="H48:H50"/>
    <mergeCell ref="I48:I50"/>
    <mergeCell ref="J48:J50"/>
    <mergeCell ref="K48:K50"/>
    <mergeCell ref="L48:L50"/>
    <mergeCell ref="M48:M50"/>
    <mergeCell ref="N48:N50"/>
    <mergeCell ref="O48:O50"/>
    <mergeCell ref="P48:P50"/>
    <mergeCell ref="Q38:Q40"/>
    <mergeCell ref="A43:A45"/>
    <mergeCell ref="C43:C45"/>
    <mergeCell ref="D43:D45"/>
    <mergeCell ref="E43:E45"/>
    <mergeCell ref="F43:F45"/>
    <mergeCell ref="G43:G45"/>
    <mergeCell ref="H43:H45"/>
    <mergeCell ref="I43:I45"/>
    <mergeCell ref="J43:J45"/>
    <mergeCell ref="K43:K45"/>
    <mergeCell ref="L43:L45"/>
    <mergeCell ref="M43:M45"/>
    <mergeCell ref="N43:N45"/>
    <mergeCell ref="O43:O45"/>
    <mergeCell ref="P43:P45"/>
    <mergeCell ref="Q34:Q36"/>
    <mergeCell ref="A38:A40"/>
    <mergeCell ref="C38:C40"/>
    <mergeCell ref="D38:D40"/>
    <mergeCell ref="E38:E40"/>
    <mergeCell ref="F38:F40"/>
    <mergeCell ref="G38:G40"/>
    <mergeCell ref="H38:H40"/>
    <mergeCell ref="I38:I40"/>
    <mergeCell ref="J38:J40"/>
    <mergeCell ref="K38:K40"/>
    <mergeCell ref="L38:L40"/>
    <mergeCell ref="M38:M40"/>
    <mergeCell ref="N38:N40"/>
    <mergeCell ref="O38:O40"/>
    <mergeCell ref="P38:P40"/>
    <mergeCell ref="Q32:Q33"/>
    <mergeCell ref="A34:A36"/>
    <mergeCell ref="C34:C36"/>
    <mergeCell ref="D34:D36"/>
    <mergeCell ref="E34:E36"/>
    <mergeCell ref="F34:F36"/>
    <mergeCell ref="G34:G36"/>
    <mergeCell ref="H34:H36"/>
    <mergeCell ref="I34:I36"/>
    <mergeCell ref="J34:J36"/>
    <mergeCell ref="K34:K36"/>
    <mergeCell ref="L34:L36"/>
    <mergeCell ref="M34:M36"/>
    <mergeCell ref="N34:N36"/>
    <mergeCell ref="O34:O36"/>
    <mergeCell ref="P34:P36"/>
    <mergeCell ref="Q29:Q31"/>
    <mergeCell ref="A32:A33"/>
    <mergeCell ref="C32:C33"/>
    <mergeCell ref="D32:D33"/>
    <mergeCell ref="E32:E33"/>
    <mergeCell ref="F32:F33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Q24:Q25"/>
    <mergeCell ref="A29:A31"/>
    <mergeCell ref="C29:C31"/>
    <mergeCell ref="D29:D31"/>
    <mergeCell ref="E29:E31"/>
    <mergeCell ref="F29:F31"/>
    <mergeCell ref="G29:G31"/>
    <mergeCell ref="H29:H31"/>
    <mergeCell ref="I29:I31"/>
    <mergeCell ref="J29:J31"/>
    <mergeCell ref="K29:K31"/>
    <mergeCell ref="L29:L31"/>
    <mergeCell ref="M29:M31"/>
    <mergeCell ref="N29:N31"/>
    <mergeCell ref="O29:O31"/>
    <mergeCell ref="P29:P31"/>
    <mergeCell ref="Q18:Q20"/>
    <mergeCell ref="A24:A25"/>
    <mergeCell ref="C24:C25"/>
    <mergeCell ref="D24:D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7:Q8"/>
    <mergeCell ref="A18:A20"/>
    <mergeCell ref="C18:C20"/>
    <mergeCell ref="D18:D20"/>
    <mergeCell ref="E18:E20"/>
    <mergeCell ref="F18:F20"/>
    <mergeCell ref="G18:G20"/>
    <mergeCell ref="H18:H20"/>
    <mergeCell ref="I18:I20"/>
    <mergeCell ref="J18:J20"/>
    <mergeCell ref="K18:K20"/>
    <mergeCell ref="L18:L20"/>
    <mergeCell ref="M18:M20"/>
    <mergeCell ref="N18:N20"/>
    <mergeCell ref="O18:O20"/>
    <mergeCell ref="P18:P20"/>
    <mergeCell ref="Q2:Q3"/>
    <mergeCell ref="A7:A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L2:L3"/>
    <mergeCell ref="M2:M3"/>
    <mergeCell ref="N2:N3"/>
    <mergeCell ref="O2:O3"/>
    <mergeCell ref="P2:P3"/>
    <mergeCell ref="G2:G3"/>
    <mergeCell ref="H2:H3"/>
    <mergeCell ref="I2:I3"/>
    <mergeCell ref="J2:J3"/>
    <mergeCell ref="K2:K3"/>
    <mergeCell ref="A2:A3"/>
    <mergeCell ref="C2:C3"/>
    <mergeCell ref="D2:D3"/>
    <mergeCell ref="E2:E3"/>
    <mergeCell ref="F2:F3"/>
  </mergeCells>
  <conditionalFormatting sqref="L2:L253">
    <cfRule type="expression" dxfId="1" priority="1">
      <formula>ISNUMBER(SEARCH("Можемо подати",L2))</formula>
    </cfRule>
    <cfRule type="expression" dxfId="0" priority="2">
      <formula>ISNUMBER(SEARCH("не подаємо",L2))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53"/>
  <sheetViews>
    <sheetView workbookViewId="0"/>
  </sheetViews>
  <sheetFormatPr defaultRowHeight="13.8"/>
  <cols>
    <col min="1" max="1" width="6" customWidth="1"/>
    <col min="2" max="2" width="45" customWidth="1"/>
    <col min="3" max="3" width="15" customWidth="1"/>
    <col min="4" max="7" width="16" customWidth="1"/>
    <col min="8" max="9" width="38" customWidth="1"/>
    <col min="10" max="12" width="16" customWidth="1"/>
    <col min="13" max="13" width="38" customWidth="1"/>
    <col min="14" max="14" width="16" customWidth="1"/>
    <col min="15" max="16" width="38" customWidth="1"/>
  </cols>
  <sheetData>
    <row r="1" spans="1:16" ht="41.4">
      <c r="A1" s="1" t="s">
        <v>609</v>
      </c>
      <c r="B1" s="1" t="s">
        <v>610</v>
      </c>
      <c r="C1" s="1" t="s">
        <v>611</v>
      </c>
      <c r="D1" s="1" t="s">
        <v>612</v>
      </c>
      <c r="E1" s="1" t="s">
        <v>613</v>
      </c>
      <c r="F1" s="1" t="s">
        <v>614</v>
      </c>
      <c r="G1" s="1" t="s">
        <v>615</v>
      </c>
      <c r="H1" s="1" t="s">
        <v>616</v>
      </c>
      <c r="I1" s="1" t="s">
        <v>617</v>
      </c>
      <c r="J1" s="1" t="s">
        <v>618</v>
      </c>
      <c r="K1" s="1" t="s">
        <v>619</v>
      </c>
      <c r="L1" s="1" t="s">
        <v>620</v>
      </c>
      <c r="M1" s="1" t="s">
        <v>621</v>
      </c>
      <c r="N1" s="1" t="s">
        <v>622</v>
      </c>
      <c r="O1" s="1" t="s">
        <v>623</v>
      </c>
      <c r="P1" s="1" t="s">
        <v>11</v>
      </c>
    </row>
    <row r="2" spans="1:16" ht="27.6">
      <c r="A2" s="2" t="s">
        <v>624</v>
      </c>
      <c r="B2" s="2" t="s">
        <v>18</v>
      </c>
      <c r="C2" s="2" t="s">
        <v>17</v>
      </c>
      <c r="D2" s="2" t="s">
        <v>624</v>
      </c>
      <c r="E2" s="2" t="s">
        <v>624</v>
      </c>
      <c r="F2" s="2"/>
      <c r="G2" s="2" t="s">
        <v>625</v>
      </c>
      <c r="H2" s="2"/>
      <c r="I2" s="2" t="s">
        <v>626</v>
      </c>
      <c r="J2" s="2" t="s">
        <v>627</v>
      </c>
      <c r="K2" s="2" t="s">
        <v>628</v>
      </c>
      <c r="L2" s="2" t="s">
        <v>629</v>
      </c>
      <c r="M2" s="2" t="s">
        <v>630</v>
      </c>
      <c r="N2" s="2" t="s">
        <v>631</v>
      </c>
      <c r="O2" s="2"/>
      <c r="P2" s="2"/>
    </row>
    <row r="3" spans="1:16" ht="27.6">
      <c r="A3" s="2" t="s">
        <v>627</v>
      </c>
      <c r="B3" s="2" t="s">
        <v>24</v>
      </c>
      <c r="C3" s="2" t="s">
        <v>23</v>
      </c>
      <c r="D3" s="2" t="s">
        <v>624</v>
      </c>
      <c r="E3" s="2" t="s">
        <v>624</v>
      </c>
      <c r="F3" s="2"/>
      <c r="G3" s="2" t="s">
        <v>632</v>
      </c>
      <c r="H3" s="2"/>
      <c r="I3" s="2" t="s">
        <v>633</v>
      </c>
      <c r="J3" s="2" t="s">
        <v>634</v>
      </c>
      <c r="K3" s="2" t="s">
        <v>635</v>
      </c>
      <c r="L3" s="2"/>
      <c r="M3" s="2"/>
      <c r="N3" s="2"/>
      <c r="O3" s="2"/>
      <c r="P3" s="2"/>
    </row>
    <row r="4" spans="1:16" ht="27.6">
      <c r="A4" s="2" t="s">
        <v>636</v>
      </c>
      <c r="B4" s="2" t="s">
        <v>28</v>
      </c>
      <c r="C4" s="2" t="s">
        <v>27</v>
      </c>
      <c r="D4" s="2" t="s">
        <v>624</v>
      </c>
      <c r="E4" s="2" t="s">
        <v>624</v>
      </c>
      <c r="F4" s="2"/>
      <c r="G4" s="2" t="s">
        <v>632</v>
      </c>
      <c r="H4" s="2"/>
      <c r="I4" s="2" t="s">
        <v>637</v>
      </c>
      <c r="J4" s="2" t="s">
        <v>634</v>
      </c>
      <c r="K4" s="2" t="s">
        <v>635</v>
      </c>
      <c r="L4" s="2"/>
      <c r="M4" s="2"/>
      <c r="N4" s="2"/>
      <c r="O4" s="2"/>
      <c r="P4" s="2"/>
    </row>
    <row r="5" spans="1:16" ht="27.6">
      <c r="A5" s="2" t="s">
        <v>638</v>
      </c>
      <c r="B5" s="2" t="s">
        <v>31</v>
      </c>
      <c r="C5" s="2" t="s">
        <v>30</v>
      </c>
      <c r="D5" s="2" t="s">
        <v>624</v>
      </c>
      <c r="E5" s="2" t="s">
        <v>624</v>
      </c>
      <c r="F5" s="2"/>
      <c r="G5" s="2" t="s">
        <v>639</v>
      </c>
      <c r="H5" s="2"/>
      <c r="I5" s="2" t="s">
        <v>640</v>
      </c>
      <c r="J5" s="2" t="s">
        <v>624</v>
      </c>
      <c r="K5" s="2" t="s">
        <v>628</v>
      </c>
      <c r="L5" s="2"/>
      <c r="M5" s="2"/>
      <c r="N5" s="2"/>
      <c r="O5" s="2"/>
      <c r="P5" s="2"/>
    </row>
    <row r="6" spans="1:16" ht="27.6">
      <c r="A6" s="2" t="s">
        <v>641</v>
      </c>
      <c r="B6" s="2" t="s">
        <v>31</v>
      </c>
      <c r="C6" s="2" t="s">
        <v>33</v>
      </c>
      <c r="D6" s="2" t="s">
        <v>624</v>
      </c>
      <c r="E6" s="2" t="s">
        <v>624</v>
      </c>
      <c r="F6" s="2"/>
      <c r="G6" s="2" t="s">
        <v>642</v>
      </c>
      <c r="H6" s="2"/>
      <c r="I6" s="2" t="s">
        <v>643</v>
      </c>
      <c r="J6" s="2" t="s">
        <v>627</v>
      </c>
      <c r="K6" s="2" t="s">
        <v>628</v>
      </c>
      <c r="L6" s="2"/>
      <c r="M6" s="2"/>
      <c r="N6" s="2"/>
      <c r="O6" s="2"/>
      <c r="P6" s="2"/>
    </row>
    <row r="7" spans="1:16" ht="27.6">
      <c r="A7" s="2" t="s">
        <v>644</v>
      </c>
      <c r="B7" s="2" t="s">
        <v>31</v>
      </c>
      <c r="C7" s="2" t="s">
        <v>34</v>
      </c>
      <c r="D7" s="2" t="s">
        <v>624</v>
      </c>
      <c r="E7" s="2" t="s">
        <v>624</v>
      </c>
      <c r="F7" s="2"/>
      <c r="G7" s="2" t="s">
        <v>639</v>
      </c>
      <c r="H7" s="2"/>
      <c r="I7" s="2" t="s">
        <v>645</v>
      </c>
      <c r="J7" s="2" t="s">
        <v>624</v>
      </c>
      <c r="K7" s="2" t="s">
        <v>628</v>
      </c>
      <c r="L7" s="2"/>
      <c r="M7" s="2"/>
      <c r="N7" s="2"/>
      <c r="O7" s="2"/>
      <c r="P7" s="2"/>
    </row>
    <row r="8" spans="1:16" ht="27.6">
      <c r="A8" s="2" t="s">
        <v>646</v>
      </c>
      <c r="B8" s="2" t="s">
        <v>31</v>
      </c>
      <c r="C8" s="2" t="s">
        <v>35</v>
      </c>
      <c r="D8" s="2" t="s">
        <v>624</v>
      </c>
      <c r="E8" s="2" t="s">
        <v>624</v>
      </c>
      <c r="F8" s="2"/>
      <c r="G8" s="2" t="s">
        <v>639</v>
      </c>
      <c r="H8" s="2"/>
      <c r="I8" s="2" t="s">
        <v>647</v>
      </c>
      <c r="J8" s="2" t="s">
        <v>624</v>
      </c>
      <c r="K8" s="2" t="s">
        <v>628</v>
      </c>
      <c r="L8" s="2"/>
      <c r="M8" s="2"/>
      <c r="N8" s="2"/>
      <c r="O8" s="2"/>
      <c r="P8" s="2"/>
    </row>
    <row r="9" spans="1:16" ht="27.6">
      <c r="A9" s="2" t="s">
        <v>648</v>
      </c>
      <c r="B9" s="2" t="s">
        <v>37</v>
      </c>
      <c r="C9" s="2" t="s">
        <v>36</v>
      </c>
      <c r="D9" s="2" t="s">
        <v>624</v>
      </c>
      <c r="E9" s="2" t="s">
        <v>624</v>
      </c>
      <c r="F9" s="2"/>
      <c r="G9" s="2" t="s">
        <v>649</v>
      </c>
      <c r="H9" s="2"/>
      <c r="I9" s="2"/>
      <c r="J9" s="2" t="s">
        <v>634</v>
      </c>
      <c r="K9" s="2" t="s">
        <v>635</v>
      </c>
      <c r="L9" s="2"/>
      <c r="M9" s="2"/>
      <c r="N9" s="2"/>
      <c r="O9" s="2"/>
      <c r="P9" s="2"/>
    </row>
    <row r="10" spans="1:16">
      <c r="A10" s="2" t="s">
        <v>650</v>
      </c>
      <c r="B10" s="2" t="s">
        <v>40</v>
      </c>
      <c r="C10" s="2" t="s">
        <v>39</v>
      </c>
      <c r="D10" s="2" t="s">
        <v>624</v>
      </c>
      <c r="E10" s="2" t="s">
        <v>624</v>
      </c>
      <c r="F10" s="2"/>
      <c r="G10" s="2" t="s">
        <v>651</v>
      </c>
      <c r="H10" s="2"/>
      <c r="I10" s="2" t="s">
        <v>652</v>
      </c>
      <c r="J10" s="2" t="s">
        <v>624</v>
      </c>
      <c r="K10" s="2" t="s">
        <v>628</v>
      </c>
      <c r="L10" s="2"/>
      <c r="M10" s="2"/>
      <c r="N10" s="2"/>
      <c r="O10" s="2"/>
      <c r="P10" s="2"/>
    </row>
    <row r="11" spans="1:16" ht="27.6">
      <c r="A11" s="2" t="s">
        <v>653</v>
      </c>
      <c r="B11" s="2" t="s">
        <v>42</v>
      </c>
      <c r="C11" s="2" t="s">
        <v>41</v>
      </c>
      <c r="D11" s="2" t="s">
        <v>624</v>
      </c>
      <c r="E11" s="2" t="s">
        <v>624</v>
      </c>
      <c r="F11" s="2"/>
      <c r="G11" s="2" t="s">
        <v>654</v>
      </c>
      <c r="H11" s="2"/>
      <c r="I11" s="2" t="s">
        <v>655</v>
      </c>
      <c r="J11" s="2" t="s">
        <v>624</v>
      </c>
      <c r="K11" s="2" t="s">
        <v>628</v>
      </c>
      <c r="L11" s="2"/>
      <c r="M11" s="2"/>
      <c r="N11" s="2"/>
      <c r="O11" s="2"/>
      <c r="P11" s="2"/>
    </row>
    <row r="12" spans="1:16" ht="27.6">
      <c r="A12" s="2" t="s">
        <v>656</v>
      </c>
      <c r="B12" s="2" t="s">
        <v>45</v>
      </c>
      <c r="C12" s="2" t="s">
        <v>44</v>
      </c>
      <c r="D12" s="2" t="s">
        <v>624</v>
      </c>
      <c r="E12" s="2" t="s">
        <v>624</v>
      </c>
      <c r="F12" s="2"/>
      <c r="G12" s="2" t="s">
        <v>631</v>
      </c>
      <c r="H12" s="2" t="s">
        <v>657</v>
      </c>
      <c r="I12" s="2" t="s">
        <v>658</v>
      </c>
      <c r="J12" s="2" t="s">
        <v>634</v>
      </c>
      <c r="K12" s="2" t="s">
        <v>635</v>
      </c>
      <c r="L12" s="2"/>
      <c r="M12" s="2"/>
      <c r="N12" s="2"/>
      <c r="O12" s="2"/>
      <c r="P12" s="2"/>
    </row>
    <row r="13" spans="1:16" ht="27.6">
      <c r="A13" s="2" t="s">
        <v>659</v>
      </c>
      <c r="B13" s="2" t="s">
        <v>49</v>
      </c>
      <c r="C13" s="2" t="s">
        <v>48</v>
      </c>
      <c r="D13" s="2" t="s">
        <v>624</v>
      </c>
      <c r="E13" s="2" t="s">
        <v>624</v>
      </c>
      <c r="F13" s="2"/>
      <c r="G13" s="2" t="s">
        <v>632</v>
      </c>
      <c r="H13" s="2" t="s">
        <v>657</v>
      </c>
      <c r="I13" s="2" t="s">
        <v>660</v>
      </c>
      <c r="J13" s="2" t="s">
        <v>634</v>
      </c>
      <c r="K13" s="2" t="s">
        <v>635</v>
      </c>
      <c r="L13" s="2"/>
      <c r="M13" s="2"/>
      <c r="N13" s="2"/>
      <c r="O13" s="2"/>
      <c r="P13" s="2"/>
    </row>
    <row r="14" spans="1:16" ht="27.6">
      <c r="A14" s="2" t="s">
        <v>661</v>
      </c>
      <c r="B14" s="2" t="s">
        <v>51</v>
      </c>
      <c r="C14" s="2" t="s">
        <v>50</v>
      </c>
      <c r="D14" s="2" t="s">
        <v>624</v>
      </c>
      <c r="E14" s="2" t="s">
        <v>624</v>
      </c>
      <c r="F14" s="2"/>
      <c r="G14" s="2" t="s">
        <v>631</v>
      </c>
      <c r="H14" s="2"/>
      <c r="I14" s="2" t="s">
        <v>662</v>
      </c>
      <c r="J14" s="2" t="s">
        <v>627</v>
      </c>
      <c r="K14" s="2" t="s">
        <v>628</v>
      </c>
      <c r="L14" s="2" t="s">
        <v>663</v>
      </c>
      <c r="M14" s="2" t="s">
        <v>664</v>
      </c>
      <c r="N14" s="2" t="s">
        <v>631</v>
      </c>
      <c r="O14" s="2"/>
      <c r="P14" s="2"/>
    </row>
    <row r="15" spans="1:16" ht="27.6">
      <c r="A15" s="2" t="s">
        <v>665</v>
      </c>
      <c r="B15" s="2" t="s">
        <v>54</v>
      </c>
      <c r="C15" s="2" t="s">
        <v>53</v>
      </c>
      <c r="D15" s="2" t="s">
        <v>624</v>
      </c>
      <c r="E15" s="2" t="s">
        <v>624</v>
      </c>
      <c r="F15" s="2"/>
      <c r="G15" s="2" t="s">
        <v>631</v>
      </c>
      <c r="H15" s="2"/>
      <c r="I15" s="2" t="s">
        <v>666</v>
      </c>
      <c r="J15" s="2" t="s">
        <v>634</v>
      </c>
      <c r="K15" s="2" t="s">
        <v>635</v>
      </c>
      <c r="L15" s="2" t="s">
        <v>663</v>
      </c>
      <c r="M15" s="2" t="s">
        <v>664</v>
      </c>
      <c r="N15" s="2" t="s">
        <v>631</v>
      </c>
      <c r="O15" s="2"/>
      <c r="P15" s="2"/>
    </row>
    <row r="16" spans="1:16" ht="27.6">
      <c r="A16" s="2" t="s">
        <v>667</v>
      </c>
      <c r="B16" s="2" t="s">
        <v>56</v>
      </c>
      <c r="C16" s="2" t="s">
        <v>55</v>
      </c>
      <c r="D16" s="2" t="s">
        <v>624</v>
      </c>
      <c r="E16" s="2" t="s">
        <v>624</v>
      </c>
      <c r="F16" s="2"/>
      <c r="G16" s="2" t="s">
        <v>668</v>
      </c>
      <c r="H16" s="2"/>
      <c r="I16" s="2" t="s">
        <v>669</v>
      </c>
      <c r="J16" s="2" t="s">
        <v>636</v>
      </c>
      <c r="K16" s="2" t="s">
        <v>628</v>
      </c>
      <c r="L16" s="2" t="s">
        <v>670</v>
      </c>
      <c r="M16" s="2" t="s">
        <v>671</v>
      </c>
      <c r="N16" s="2"/>
      <c r="O16" s="2"/>
      <c r="P16" s="2"/>
    </row>
    <row r="17" spans="1:16" ht="27.6">
      <c r="A17" s="2" t="s">
        <v>672</v>
      </c>
      <c r="B17" s="2" t="s">
        <v>59</v>
      </c>
      <c r="C17" s="2" t="s">
        <v>58</v>
      </c>
      <c r="D17" s="2" t="s">
        <v>624</v>
      </c>
      <c r="E17" s="2" t="s">
        <v>624</v>
      </c>
      <c r="F17" s="2"/>
      <c r="G17" s="2" t="s">
        <v>673</v>
      </c>
      <c r="H17" s="2"/>
      <c r="I17" s="2"/>
      <c r="J17" s="2" t="s">
        <v>634</v>
      </c>
      <c r="K17" s="2" t="s">
        <v>635</v>
      </c>
      <c r="L17" s="2"/>
      <c r="M17" s="2"/>
      <c r="N17" s="2"/>
      <c r="O17" s="2"/>
      <c r="P17" s="2"/>
    </row>
    <row r="18" spans="1:16" ht="27.6">
      <c r="A18" s="2" t="s">
        <v>674</v>
      </c>
      <c r="B18" s="2" t="s">
        <v>62</v>
      </c>
      <c r="C18" s="2" t="s">
        <v>61</v>
      </c>
      <c r="D18" s="2" t="s">
        <v>624</v>
      </c>
      <c r="E18" s="2" t="s">
        <v>624</v>
      </c>
      <c r="F18" s="2"/>
      <c r="G18" s="2" t="s">
        <v>675</v>
      </c>
      <c r="H18" s="2"/>
      <c r="I18" s="2"/>
      <c r="J18" s="2" t="s">
        <v>634</v>
      </c>
      <c r="K18" s="2" t="s">
        <v>635</v>
      </c>
      <c r="L18" s="2"/>
      <c r="M18" s="2"/>
      <c r="N18" s="2"/>
      <c r="O18" s="2"/>
      <c r="P18" s="2"/>
    </row>
    <row r="19" spans="1:16">
      <c r="A19" s="2" t="s">
        <v>676</v>
      </c>
      <c r="B19" s="2" t="s">
        <v>64</v>
      </c>
      <c r="C19" s="2" t="s">
        <v>63</v>
      </c>
      <c r="D19" s="2" t="s">
        <v>624</v>
      </c>
      <c r="E19" s="2" t="s">
        <v>624</v>
      </c>
      <c r="F19" s="2"/>
      <c r="G19" s="2" t="s">
        <v>677</v>
      </c>
      <c r="H19" s="2"/>
      <c r="I19" s="2" t="s">
        <v>678</v>
      </c>
      <c r="J19" s="2" t="s">
        <v>636</v>
      </c>
      <c r="K19" s="2" t="s">
        <v>628</v>
      </c>
      <c r="L19" s="2"/>
      <c r="M19" s="2"/>
      <c r="N19" s="2"/>
      <c r="O19" s="2"/>
      <c r="P19" s="2"/>
    </row>
    <row r="20" spans="1:16">
      <c r="A20" s="2" t="s">
        <v>679</v>
      </c>
      <c r="B20" s="2" t="s">
        <v>66</v>
      </c>
      <c r="C20" s="2" t="s">
        <v>65</v>
      </c>
      <c r="D20" s="2" t="s">
        <v>624</v>
      </c>
      <c r="E20" s="2" t="s">
        <v>624</v>
      </c>
      <c r="F20" s="2"/>
      <c r="G20" s="2" t="s">
        <v>677</v>
      </c>
      <c r="H20" s="2"/>
      <c r="I20" s="2" t="s">
        <v>680</v>
      </c>
      <c r="J20" s="2" t="s">
        <v>627</v>
      </c>
      <c r="K20" s="2" t="s">
        <v>628</v>
      </c>
      <c r="L20" s="2"/>
      <c r="M20" s="2"/>
      <c r="N20" s="2"/>
      <c r="O20" s="2"/>
      <c r="P20" s="2"/>
    </row>
    <row r="21" spans="1:16" ht="27.6">
      <c r="A21" s="2" t="s">
        <v>681</v>
      </c>
      <c r="B21" s="2" t="s">
        <v>68</v>
      </c>
      <c r="C21" s="2" t="s">
        <v>67</v>
      </c>
      <c r="D21" s="2" t="s">
        <v>624</v>
      </c>
      <c r="E21" s="2" t="s">
        <v>624</v>
      </c>
      <c r="F21" s="2"/>
      <c r="G21" s="2" t="s">
        <v>632</v>
      </c>
      <c r="H21" s="2"/>
      <c r="I21" s="2" t="s">
        <v>682</v>
      </c>
      <c r="J21" s="2" t="s">
        <v>634</v>
      </c>
      <c r="K21" s="2" t="s">
        <v>635</v>
      </c>
      <c r="L21" s="2" t="s">
        <v>683</v>
      </c>
      <c r="M21" s="2" t="s">
        <v>684</v>
      </c>
      <c r="N21" s="2" t="s">
        <v>685</v>
      </c>
      <c r="O21" s="2"/>
      <c r="P21" s="2"/>
    </row>
    <row r="22" spans="1:16" ht="27.6">
      <c r="A22" s="2" t="s">
        <v>686</v>
      </c>
      <c r="B22" s="2" t="s">
        <v>71</v>
      </c>
      <c r="C22" s="2" t="s">
        <v>70</v>
      </c>
      <c r="D22" s="2" t="s">
        <v>624</v>
      </c>
      <c r="E22" s="2" t="s">
        <v>624</v>
      </c>
      <c r="F22" s="2"/>
      <c r="G22" s="2" t="s">
        <v>632</v>
      </c>
      <c r="H22" s="2" t="s">
        <v>687</v>
      </c>
      <c r="I22" s="2" t="s">
        <v>688</v>
      </c>
      <c r="J22" s="2" t="s">
        <v>634</v>
      </c>
      <c r="K22" s="2" t="s">
        <v>635</v>
      </c>
      <c r="L22" s="2" t="s">
        <v>689</v>
      </c>
      <c r="M22" s="2" t="s">
        <v>690</v>
      </c>
      <c r="N22" s="2" t="s">
        <v>631</v>
      </c>
      <c r="O22" s="2"/>
      <c r="P22" s="2"/>
    </row>
    <row r="23" spans="1:16" ht="27.6">
      <c r="A23" s="2" t="s">
        <v>691</v>
      </c>
      <c r="B23" s="2" t="s">
        <v>75</v>
      </c>
      <c r="C23" s="2" t="s">
        <v>74</v>
      </c>
      <c r="D23" s="2" t="s">
        <v>624</v>
      </c>
      <c r="E23" s="2" t="s">
        <v>624</v>
      </c>
      <c r="F23" s="2"/>
      <c r="G23" s="2" t="s">
        <v>632</v>
      </c>
      <c r="H23" s="2" t="s">
        <v>692</v>
      </c>
      <c r="I23" s="2" t="s">
        <v>693</v>
      </c>
      <c r="J23" s="2" t="s">
        <v>634</v>
      </c>
      <c r="K23" s="2" t="s">
        <v>635</v>
      </c>
      <c r="L23" s="2" t="s">
        <v>689</v>
      </c>
      <c r="M23" s="2" t="s">
        <v>690</v>
      </c>
      <c r="N23" s="2" t="s">
        <v>631</v>
      </c>
      <c r="O23" s="2"/>
      <c r="P23" s="2"/>
    </row>
    <row r="24" spans="1:16" ht="27.6">
      <c r="A24" s="2" t="s">
        <v>694</v>
      </c>
      <c r="B24" s="2" t="s">
        <v>78</v>
      </c>
      <c r="C24" s="2" t="s">
        <v>77</v>
      </c>
      <c r="D24" s="2" t="s">
        <v>624</v>
      </c>
      <c r="E24" s="2" t="s">
        <v>624</v>
      </c>
      <c r="F24" s="2"/>
      <c r="G24" s="2" t="s">
        <v>631</v>
      </c>
      <c r="H24" s="2"/>
      <c r="I24" s="2" t="s">
        <v>695</v>
      </c>
      <c r="J24" s="2" t="s">
        <v>638</v>
      </c>
      <c r="K24" s="2" t="s">
        <v>628</v>
      </c>
      <c r="L24" s="2" t="s">
        <v>696</v>
      </c>
      <c r="M24" s="2" t="s">
        <v>697</v>
      </c>
      <c r="N24" s="2" t="s">
        <v>698</v>
      </c>
      <c r="O24" s="2"/>
      <c r="P24" s="2"/>
    </row>
    <row r="25" spans="1:16" ht="124.2">
      <c r="A25" s="2" t="s">
        <v>699</v>
      </c>
      <c r="B25" s="2" t="s">
        <v>81</v>
      </c>
      <c r="C25" s="2" t="s">
        <v>80</v>
      </c>
      <c r="D25" s="2" t="s">
        <v>624</v>
      </c>
      <c r="E25" s="2" t="s">
        <v>624</v>
      </c>
      <c r="F25" s="2"/>
      <c r="G25" s="2" t="s">
        <v>700</v>
      </c>
      <c r="H25" s="2"/>
      <c r="I25" s="2" t="s">
        <v>701</v>
      </c>
      <c r="J25" s="2" t="s">
        <v>627</v>
      </c>
      <c r="K25" s="2" t="s">
        <v>628</v>
      </c>
      <c r="L25" s="2" t="s">
        <v>702</v>
      </c>
      <c r="M25" s="2" t="s">
        <v>703</v>
      </c>
      <c r="N25" s="2" t="s">
        <v>631</v>
      </c>
      <c r="O25" s="2"/>
      <c r="P25" s="2"/>
    </row>
    <row r="26" spans="1:16" ht="124.2">
      <c r="A26" s="2" t="s">
        <v>704</v>
      </c>
      <c r="B26" s="2" t="s">
        <v>84</v>
      </c>
      <c r="C26" s="2" t="s">
        <v>83</v>
      </c>
      <c r="D26" s="2" t="s">
        <v>624</v>
      </c>
      <c r="E26" s="2" t="s">
        <v>624</v>
      </c>
      <c r="F26" s="2"/>
      <c r="G26" s="2" t="s">
        <v>632</v>
      </c>
      <c r="H26" s="2"/>
      <c r="I26" s="2" t="s">
        <v>705</v>
      </c>
      <c r="J26" s="2" t="s">
        <v>636</v>
      </c>
      <c r="K26" s="2" t="s">
        <v>628</v>
      </c>
      <c r="L26" s="2" t="s">
        <v>702</v>
      </c>
      <c r="M26" s="2" t="s">
        <v>703</v>
      </c>
      <c r="N26" s="2" t="s">
        <v>631</v>
      </c>
      <c r="O26" s="2"/>
      <c r="P26" s="2"/>
    </row>
    <row r="27" spans="1:16" ht="124.2">
      <c r="A27" s="2" t="s">
        <v>706</v>
      </c>
      <c r="B27" s="2" t="s">
        <v>84</v>
      </c>
      <c r="C27" s="2" t="s">
        <v>85</v>
      </c>
      <c r="D27" s="2" t="s">
        <v>624</v>
      </c>
      <c r="E27" s="2" t="s">
        <v>624</v>
      </c>
      <c r="F27" s="2"/>
      <c r="G27" s="2" t="s">
        <v>632</v>
      </c>
      <c r="H27" s="2"/>
      <c r="I27" s="2" t="s">
        <v>707</v>
      </c>
      <c r="J27" s="2" t="s">
        <v>634</v>
      </c>
      <c r="K27" s="2" t="s">
        <v>635</v>
      </c>
      <c r="L27" s="2" t="s">
        <v>702</v>
      </c>
      <c r="M27" s="2" t="s">
        <v>703</v>
      </c>
      <c r="N27" s="2" t="s">
        <v>631</v>
      </c>
      <c r="O27" s="2"/>
      <c r="P27" s="2"/>
    </row>
    <row r="28" spans="1:16" ht="27.6">
      <c r="A28" s="2" t="s">
        <v>708</v>
      </c>
      <c r="B28" s="2" t="s">
        <v>87</v>
      </c>
      <c r="C28" s="2" t="s">
        <v>86</v>
      </c>
      <c r="D28" s="2" t="s">
        <v>624</v>
      </c>
      <c r="E28" s="2" t="s">
        <v>624</v>
      </c>
      <c r="F28" s="2"/>
      <c r="G28" s="2" t="s">
        <v>709</v>
      </c>
      <c r="H28" s="2"/>
      <c r="I28" s="2" t="s">
        <v>710</v>
      </c>
      <c r="J28" s="2" t="s">
        <v>636</v>
      </c>
      <c r="K28" s="2" t="s">
        <v>628</v>
      </c>
      <c r="L28" s="2" t="s">
        <v>711</v>
      </c>
      <c r="M28" s="2" t="s">
        <v>712</v>
      </c>
      <c r="N28" s="2" t="s">
        <v>631</v>
      </c>
      <c r="O28" s="2"/>
      <c r="P28" s="2"/>
    </row>
    <row r="29" spans="1:16" ht="27.6">
      <c r="A29" s="2" t="s">
        <v>713</v>
      </c>
      <c r="B29" s="2" t="s">
        <v>90</v>
      </c>
      <c r="C29" s="2" t="s">
        <v>89</v>
      </c>
      <c r="D29" s="2" t="s">
        <v>624</v>
      </c>
      <c r="E29" s="2" t="s">
        <v>624</v>
      </c>
      <c r="F29" s="2"/>
      <c r="G29" s="2" t="s">
        <v>714</v>
      </c>
      <c r="H29" s="2"/>
      <c r="I29" s="2" t="s">
        <v>715</v>
      </c>
      <c r="J29" s="2" t="s">
        <v>634</v>
      </c>
      <c r="K29" s="2" t="s">
        <v>635</v>
      </c>
      <c r="L29" s="2" t="s">
        <v>711</v>
      </c>
      <c r="M29" s="2" t="s">
        <v>712</v>
      </c>
      <c r="N29" s="2" t="s">
        <v>631</v>
      </c>
      <c r="O29" s="2"/>
      <c r="P29" s="2"/>
    </row>
    <row r="30" spans="1:16" ht="27.6">
      <c r="A30" s="2" t="s">
        <v>716</v>
      </c>
      <c r="B30" s="2" t="s">
        <v>92</v>
      </c>
      <c r="C30" s="2" t="s">
        <v>91</v>
      </c>
      <c r="D30" s="2" t="s">
        <v>624</v>
      </c>
      <c r="E30" s="2" t="s">
        <v>624</v>
      </c>
      <c r="F30" s="2"/>
      <c r="G30" s="2" t="s">
        <v>714</v>
      </c>
      <c r="H30" s="2"/>
      <c r="I30" s="2" t="s">
        <v>717</v>
      </c>
      <c r="J30" s="2" t="s">
        <v>634</v>
      </c>
      <c r="K30" s="2" t="s">
        <v>635</v>
      </c>
      <c r="L30" s="2" t="s">
        <v>711</v>
      </c>
      <c r="M30" s="2" t="s">
        <v>712</v>
      </c>
      <c r="N30" s="2" t="s">
        <v>631</v>
      </c>
      <c r="O30" s="2"/>
      <c r="P30" s="2"/>
    </row>
    <row r="31" spans="1:16" ht="27.6">
      <c r="A31" s="2" t="s">
        <v>718</v>
      </c>
      <c r="B31" s="2" t="s">
        <v>94</v>
      </c>
      <c r="C31" s="2" t="s">
        <v>93</v>
      </c>
      <c r="D31" s="2" t="s">
        <v>624</v>
      </c>
      <c r="E31" s="2" t="s">
        <v>624</v>
      </c>
      <c r="F31" s="2"/>
      <c r="G31" s="2" t="s">
        <v>709</v>
      </c>
      <c r="H31" s="2"/>
      <c r="I31" s="2" t="s">
        <v>719</v>
      </c>
      <c r="J31" s="2" t="s">
        <v>636</v>
      </c>
      <c r="K31" s="2" t="s">
        <v>628</v>
      </c>
      <c r="L31" s="2" t="s">
        <v>711</v>
      </c>
      <c r="M31" s="2" t="s">
        <v>712</v>
      </c>
      <c r="N31" s="2" t="s">
        <v>631</v>
      </c>
      <c r="O31" s="2" t="s">
        <v>634</v>
      </c>
      <c r="P31" s="2"/>
    </row>
    <row r="32" spans="1:16" ht="27.6">
      <c r="A32" s="2" t="s">
        <v>720</v>
      </c>
      <c r="B32" s="2" t="s">
        <v>96</v>
      </c>
      <c r="C32" s="2" t="s">
        <v>95</v>
      </c>
      <c r="D32" s="2" t="s">
        <v>624</v>
      </c>
      <c r="E32" s="2" t="s">
        <v>624</v>
      </c>
      <c r="F32" s="2"/>
      <c r="G32" s="2" t="s">
        <v>714</v>
      </c>
      <c r="H32" s="2" t="s">
        <v>657</v>
      </c>
      <c r="I32" s="2" t="s">
        <v>721</v>
      </c>
      <c r="J32" s="2" t="s">
        <v>634</v>
      </c>
      <c r="K32" s="2" t="s">
        <v>635</v>
      </c>
      <c r="L32" s="2" t="s">
        <v>711</v>
      </c>
      <c r="M32" s="2" t="s">
        <v>712</v>
      </c>
      <c r="N32" s="2" t="s">
        <v>631</v>
      </c>
      <c r="O32" s="2" t="s">
        <v>634</v>
      </c>
      <c r="P32" s="2"/>
    </row>
    <row r="33" spans="1:16" ht="27.6">
      <c r="A33" s="2" t="s">
        <v>722</v>
      </c>
      <c r="B33" s="2" t="s">
        <v>98</v>
      </c>
      <c r="C33" s="2" t="s">
        <v>97</v>
      </c>
      <c r="D33" s="2" t="s">
        <v>624</v>
      </c>
      <c r="E33" s="2" t="s">
        <v>624</v>
      </c>
      <c r="F33" s="2"/>
      <c r="G33" s="2" t="s">
        <v>714</v>
      </c>
      <c r="H33" s="2"/>
      <c r="I33" s="2" t="s">
        <v>723</v>
      </c>
      <c r="J33" s="2" t="s">
        <v>634</v>
      </c>
      <c r="K33" s="2" t="s">
        <v>635</v>
      </c>
      <c r="L33" s="2" t="s">
        <v>711</v>
      </c>
      <c r="M33" s="2" t="s">
        <v>712</v>
      </c>
      <c r="N33" s="2" t="s">
        <v>631</v>
      </c>
      <c r="O33" s="2" t="s">
        <v>634</v>
      </c>
      <c r="P33" s="2"/>
    </row>
    <row r="34" spans="1:16" ht="27.6">
      <c r="A34" s="2" t="s">
        <v>724</v>
      </c>
      <c r="B34" s="2" t="s">
        <v>100</v>
      </c>
      <c r="C34" s="2" t="s">
        <v>99</v>
      </c>
      <c r="D34" s="2" t="s">
        <v>624</v>
      </c>
      <c r="E34" s="2" t="s">
        <v>624</v>
      </c>
      <c r="F34" s="2"/>
      <c r="G34" s="2" t="s">
        <v>725</v>
      </c>
      <c r="H34" s="2"/>
      <c r="I34" s="2" t="s">
        <v>726</v>
      </c>
      <c r="J34" s="2" t="s">
        <v>636</v>
      </c>
      <c r="K34" s="2" t="s">
        <v>628</v>
      </c>
      <c r="L34" s="2" t="s">
        <v>711</v>
      </c>
      <c r="M34" s="2" t="s">
        <v>712</v>
      </c>
      <c r="N34" s="2" t="s">
        <v>631</v>
      </c>
      <c r="O34" s="2" t="s">
        <v>634</v>
      </c>
      <c r="P34" s="2"/>
    </row>
    <row r="35" spans="1:16" ht="27.6">
      <c r="A35" s="2" t="s">
        <v>727</v>
      </c>
      <c r="B35" s="2" t="s">
        <v>102</v>
      </c>
      <c r="C35" s="2" t="s">
        <v>101</v>
      </c>
      <c r="D35" s="2" t="s">
        <v>624</v>
      </c>
      <c r="E35" s="2" t="s">
        <v>624</v>
      </c>
      <c r="F35" s="2"/>
      <c r="G35" s="2" t="s">
        <v>709</v>
      </c>
      <c r="H35" s="2"/>
      <c r="I35" s="2" t="s">
        <v>728</v>
      </c>
      <c r="J35" s="2" t="s">
        <v>636</v>
      </c>
      <c r="K35" s="2" t="s">
        <v>628</v>
      </c>
      <c r="L35" s="2" t="s">
        <v>711</v>
      </c>
      <c r="M35" s="2" t="s">
        <v>712</v>
      </c>
      <c r="N35" s="2" t="s">
        <v>631</v>
      </c>
      <c r="O35" s="2" t="s">
        <v>634</v>
      </c>
      <c r="P35" s="2"/>
    </row>
    <row r="36" spans="1:16">
      <c r="A36" s="2" t="s">
        <v>729</v>
      </c>
      <c r="B36" s="2" t="s">
        <v>104</v>
      </c>
      <c r="C36" s="2" t="s">
        <v>103</v>
      </c>
      <c r="D36" s="2" t="s">
        <v>624</v>
      </c>
      <c r="E36" s="2" t="s">
        <v>624</v>
      </c>
      <c r="F36" s="2"/>
      <c r="G36" s="2" t="s">
        <v>730</v>
      </c>
      <c r="H36" s="2" t="s">
        <v>657</v>
      </c>
      <c r="I36" s="2" t="s">
        <v>731</v>
      </c>
      <c r="J36" s="2" t="s">
        <v>627</v>
      </c>
      <c r="K36" s="2" t="s">
        <v>628</v>
      </c>
      <c r="L36" s="2"/>
      <c r="M36" s="2"/>
      <c r="N36" s="2"/>
      <c r="O36" s="2"/>
      <c r="P36" s="2"/>
    </row>
    <row r="37" spans="1:16" ht="55.2">
      <c r="A37" s="2" t="s">
        <v>732</v>
      </c>
      <c r="B37" s="2" t="s">
        <v>108</v>
      </c>
      <c r="C37" s="2" t="s">
        <v>107</v>
      </c>
      <c r="D37" s="2" t="s">
        <v>624</v>
      </c>
      <c r="E37" s="2" t="s">
        <v>624</v>
      </c>
      <c r="F37" s="2"/>
      <c r="G37" s="2" t="s">
        <v>733</v>
      </c>
      <c r="H37" s="2"/>
      <c r="I37" s="2" t="s">
        <v>734</v>
      </c>
      <c r="J37" s="2" t="s">
        <v>644</v>
      </c>
      <c r="K37" s="2" t="s">
        <v>735</v>
      </c>
      <c r="L37" s="2"/>
      <c r="M37" s="2"/>
      <c r="N37" s="2" t="s">
        <v>677</v>
      </c>
      <c r="O37" s="2" t="s">
        <v>110</v>
      </c>
      <c r="P37" s="2"/>
    </row>
    <row r="38" spans="1:16">
      <c r="A38" s="2" t="s">
        <v>736</v>
      </c>
      <c r="B38" s="2" t="s">
        <v>112</v>
      </c>
      <c r="C38" s="2" t="s">
        <v>111</v>
      </c>
      <c r="D38" s="2" t="s">
        <v>624</v>
      </c>
      <c r="E38" s="2" t="s">
        <v>624</v>
      </c>
      <c r="F38" s="2"/>
      <c r="G38" s="2" t="s">
        <v>730</v>
      </c>
      <c r="H38" s="2"/>
      <c r="I38" s="2" t="s">
        <v>737</v>
      </c>
      <c r="J38" s="2" t="s">
        <v>627</v>
      </c>
      <c r="K38" s="2" t="s">
        <v>735</v>
      </c>
      <c r="L38" s="2"/>
      <c r="M38" s="2"/>
      <c r="N38" s="2"/>
      <c r="O38" s="2"/>
      <c r="P38" s="2"/>
    </row>
    <row r="39" spans="1:16">
      <c r="A39" s="2" t="s">
        <v>738</v>
      </c>
      <c r="B39" s="2" t="s">
        <v>115</v>
      </c>
      <c r="C39" s="2" t="s">
        <v>114</v>
      </c>
      <c r="D39" s="2" t="s">
        <v>624</v>
      </c>
      <c r="E39" s="2" t="s">
        <v>624</v>
      </c>
      <c r="F39" s="2"/>
      <c r="G39" s="2" t="s">
        <v>730</v>
      </c>
      <c r="H39" s="2"/>
      <c r="I39" s="2" t="s">
        <v>739</v>
      </c>
      <c r="J39" s="2" t="s">
        <v>627</v>
      </c>
      <c r="K39" s="2" t="s">
        <v>735</v>
      </c>
      <c r="L39" s="2"/>
      <c r="M39" s="2"/>
      <c r="N39" s="2"/>
      <c r="O39" s="2"/>
      <c r="P39" s="2"/>
    </row>
    <row r="40" spans="1:16" ht="69">
      <c r="A40" s="2" t="s">
        <v>740</v>
      </c>
      <c r="B40" s="2" t="s">
        <v>117</v>
      </c>
      <c r="C40" s="2" t="s">
        <v>116</v>
      </c>
      <c r="D40" s="2" t="s">
        <v>624</v>
      </c>
      <c r="E40" s="2" t="s">
        <v>624</v>
      </c>
      <c r="F40" s="2"/>
      <c r="G40" s="2" t="s">
        <v>741</v>
      </c>
      <c r="H40" s="2"/>
      <c r="I40" s="2" t="s">
        <v>742</v>
      </c>
      <c r="J40" s="2" t="s">
        <v>627</v>
      </c>
      <c r="K40" s="2" t="s">
        <v>735</v>
      </c>
      <c r="L40" s="2" t="s">
        <v>743</v>
      </c>
      <c r="M40" s="2" t="s">
        <v>744</v>
      </c>
      <c r="N40" s="2" t="s">
        <v>745</v>
      </c>
      <c r="O40" s="2" t="s">
        <v>118</v>
      </c>
      <c r="P40" s="2"/>
    </row>
    <row r="41" spans="1:16" ht="55.2">
      <c r="A41" s="2" t="s">
        <v>746</v>
      </c>
      <c r="B41" s="2" t="s">
        <v>120</v>
      </c>
      <c r="C41" s="2" t="s">
        <v>119</v>
      </c>
      <c r="D41" s="2" t="s">
        <v>624</v>
      </c>
      <c r="E41" s="2" t="s">
        <v>624</v>
      </c>
      <c r="F41" s="2"/>
      <c r="G41" s="2" t="s">
        <v>631</v>
      </c>
      <c r="H41" s="2"/>
      <c r="I41" s="2" t="s">
        <v>747</v>
      </c>
      <c r="J41" s="2" t="s">
        <v>627</v>
      </c>
      <c r="K41" s="2" t="s">
        <v>735</v>
      </c>
      <c r="L41" s="2" t="s">
        <v>748</v>
      </c>
      <c r="M41" s="2" t="s">
        <v>749</v>
      </c>
      <c r="N41" s="2" t="s">
        <v>750</v>
      </c>
      <c r="O41" s="2" t="s">
        <v>122</v>
      </c>
      <c r="P41" s="2"/>
    </row>
    <row r="42" spans="1:16">
      <c r="A42" s="2" t="s">
        <v>751</v>
      </c>
      <c r="B42" s="2" t="s">
        <v>124</v>
      </c>
      <c r="C42" s="2" t="s">
        <v>123</v>
      </c>
      <c r="D42" s="2" t="s">
        <v>624</v>
      </c>
      <c r="E42" s="2" t="s">
        <v>624</v>
      </c>
      <c r="F42" s="2"/>
      <c r="G42" s="2" t="s">
        <v>733</v>
      </c>
      <c r="H42" s="2"/>
      <c r="I42" s="2" t="s">
        <v>752</v>
      </c>
      <c r="J42" s="2" t="s">
        <v>627</v>
      </c>
      <c r="K42" s="2" t="s">
        <v>735</v>
      </c>
      <c r="L42" s="2"/>
      <c r="M42" s="2"/>
      <c r="N42" s="2"/>
      <c r="O42" s="2"/>
      <c r="P42" s="2"/>
    </row>
    <row r="43" spans="1:16" ht="27.6">
      <c r="A43" s="2" t="s">
        <v>753</v>
      </c>
      <c r="B43" s="2" t="s">
        <v>127</v>
      </c>
      <c r="C43" s="2" t="s">
        <v>126</v>
      </c>
      <c r="D43" s="2" t="s">
        <v>624</v>
      </c>
      <c r="E43" s="2" t="s">
        <v>624</v>
      </c>
      <c r="F43" s="2"/>
      <c r="G43" s="2" t="s">
        <v>754</v>
      </c>
      <c r="H43" s="2"/>
      <c r="I43" s="2" t="s">
        <v>755</v>
      </c>
      <c r="J43" s="2" t="s">
        <v>624</v>
      </c>
      <c r="K43" s="2" t="s">
        <v>735</v>
      </c>
      <c r="L43" s="2" t="s">
        <v>756</v>
      </c>
      <c r="M43" s="2" t="s">
        <v>757</v>
      </c>
      <c r="N43" s="2"/>
      <c r="O43" s="2"/>
      <c r="P43" s="2"/>
    </row>
    <row r="44" spans="1:16" ht="27.6">
      <c r="A44" s="2" t="s">
        <v>758</v>
      </c>
      <c r="B44" s="2" t="s">
        <v>129</v>
      </c>
      <c r="C44" s="2" t="s">
        <v>128</v>
      </c>
      <c r="D44" s="2" t="s">
        <v>624</v>
      </c>
      <c r="E44" s="2" t="s">
        <v>624</v>
      </c>
      <c r="F44" s="2"/>
      <c r="G44" s="2" t="s">
        <v>754</v>
      </c>
      <c r="H44" s="2"/>
      <c r="I44" s="2" t="s">
        <v>759</v>
      </c>
      <c r="J44" s="2" t="s">
        <v>638</v>
      </c>
      <c r="K44" s="2" t="s">
        <v>735</v>
      </c>
      <c r="L44" s="2" t="s">
        <v>760</v>
      </c>
      <c r="M44" s="2" t="s">
        <v>761</v>
      </c>
      <c r="N44" s="2"/>
      <c r="O44" s="2"/>
      <c r="P44" s="2"/>
    </row>
    <row r="45" spans="1:16" ht="27.6">
      <c r="A45" s="2" t="s">
        <v>762</v>
      </c>
      <c r="B45" s="2" t="s">
        <v>131</v>
      </c>
      <c r="C45" s="2" t="s">
        <v>130</v>
      </c>
      <c r="D45" s="2" t="s">
        <v>624</v>
      </c>
      <c r="E45" s="2" t="s">
        <v>624</v>
      </c>
      <c r="F45" s="2"/>
      <c r="G45" s="2" t="s">
        <v>763</v>
      </c>
      <c r="H45" s="2" t="s">
        <v>657</v>
      </c>
      <c r="I45" s="2"/>
      <c r="J45" s="2" t="s">
        <v>634</v>
      </c>
      <c r="K45" s="2" t="s">
        <v>635</v>
      </c>
      <c r="L45" s="2" t="s">
        <v>764</v>
      </c>
      <c r="M45" s="2" t="s">
        <v>765</v>
      </c>
      <c r="N45" s="2" t="s">
        <v>670</v>
      </c>
      <c r="O45" s="2" t="s">
        <v>133</v>
      </c>
      <c r="P45" s="2"/>
    </row>
    <row r="46" spans="1:16" ht="69">
      <c r="A46" s="2" t="s">
        <v>766</v>
      </c>
      <c r="B46" s="2" t="s">
        <v>135</v>
      </c>
      <c r="C46" s="2" t="s">
        <v>134</v>
      </c>
      <c r="D46" s="2" t="s">
        <v>624</v>
      </c>
      <c r="E46" s="2" t="s">
        <v>624</v>
      </c>
      <c r="F46" s="2"/>
      <c r="G46" s="2" t="s">
        <v>632</v>
      </c>
      <c r="H46" s="2" t="s">
        <v>657</v>
      </c>
      <c r="I46" s="2" t="s">
        <v>767</v>
      </c>
      <c r="J46" s="2" t="s">
        <v>634</v>
      </c>
      <c r="K46" s="2" t="s">
        <v>635</v>
      </c>
      <c r="L46" s="2" t="s">
        <v>768</v>
      </c>
      <c r="M46" s="2" t="s">
        <v>769</v>
      </c>
      <c r="N46" s="2"/>
      <c r="O46" s="2"/>
      <c r="P46" s="2"/>
    </row>
    <row r="47" spans="1:16" ht="82.8">
      <c r="A47" s="2" t="s">
        <v>770</v>
      </c>
      <c r="B47" s="2" t="s">
        <v>137</v>
      </c>
      <c r="C47" s="2" t="s">
        <v>136</v>
      </c>
      <c r="D47" s="2" t="s">
        <v>624</v>
      </c>
      <c r="E47" s="2" t="s">
        <v>624</v>
      </c>
      <c r="F47" s="2"/>
      <c r="G47" s="2" t="s">
        <v>771</v>
      </c>
      <c r="H47" s="2"/>
      <c r="I47" s="2" t="s">
        <v>772</v>
      </c>
      <c r="J47" s="2" t="s">
        <v>624</v>
      </c>
      <c r="K47" s="2" t="s">
        <v>735</v>
      </c>
      <c r="L47" s="2" t="s">
        <v>773</v>
      </c>
      <c r="M47" s="2" t="s">
        <v>774</v>
      </c>
      <c r="N47" s="2"/>
      <c r="O47" s="2"/>
      <c r="P47" s="2"/>
    </row>
    <row r="48" spans="1:16" ht="82.8">
      <c r="A48" s="2" t="s">
        <v>775</v>
      </c>
      <c r="B48" s="2" t="s">
        <v>137</v>
      </c>
      <c r="C48" s="2" t="s">
        <v>139</v>
      </c>
      <c r="D48" s="2" t="s">
        <v>624</v>
      </c>
      <c r="E48" s="2" t="s">
        <v>624</v>
      </c>
      <c r="F48" s="2"/>
      <c r="G48" s="2" t="s">
        <v>776</v>
      </c>
      <c r="H48" s="2"/>
      <c r="I48" s="2" t="s">
        <v>777</v>
      </c>
      <c r="J48" s="2" t="s">
        <v>627</v>
      </c>
      <c r="K48" s="2" t="s">
        <v>735</v>
      </c>
      <c r="L48" s="2" t="s">
        <v>773</v>
      </c>
      <c r="M48" s="2" t="s">
        <v>774</v>
      </c>
      <c r="N48" s="2"/>
      <c r="O48" s="2"/>
      <c r="P48" s="2"/>
    </row>
    <row r="49" spans="1:16" ht="82.8">
      <c r="A49" s="2" t="s">
        <v>778</v>
      </c>
      <c r="B49" s="2" t="s">
        <v>137</v>
      </c>
      <c r="C49" s="2" t="s">
        <v>140</v>
      </c>
      <c r="D49" s="2" t="s">
        <v>624</v>
      </c>
      <c r="E49" s="2" t="s">
        <v>624</v>
      </c>
      <c r="F49" s="2"/>
      <c r="G49" s="2" t="s">
        <v>771</v>
      </c>
      <c r="H49" s="2"/>
      <c r="I49" s="2" t="s">
        <v>779</v>
      </c>
      <c r="J49" s="2" t="s">
        <v>634</v>
      </c>
      <c r="K49" s="2" t="s">
        <v>635</v>
      </c>
      <c r="L49" s="2" t="s">
        <v>773</v>
      </c>
      <c r="M49" s="2" t="s">
        <v>774</v>
      </c>
      <c r="N49" s="2"/>
      <c r="O49" s="2"/>
      <c r="P49" s="2"/>
    </row>
    <row r="50" spans="1:16" ht="82.8">
      <c r="A50" s="2" t="s">
        <v>780</v>
      </c>
      <c r="B50" s="2" t="s">
        <v>137</v>
      </c>
      <c r="C50" s="2" t="s">
        <v>141</v>
      </c>
      <c r="D50" s="2" t="s">
        <v>624</v>
      </c>
      <c r="E50" s="2" t="s">
        <v>624</v>
      </c>
      <c r="F50" s="2"/>
      <c r="G50" s="2" t="s">
        <v>771</v>
      </c>
      <c r="H50" s="2"/>
      <c r="I50" s="2" t="s">
        <v>781</v>
      </c>
      <c r="J50" s="2" t="s">
        <v>627</v>
      </c>
      <c r="K50" s="2" t="s">
        <v>735</v>
      </c>
      <c r="L50" s="2" t="s">
        <v>773</v>
      </c>
      <c r="M50" s="2" t="s">
        <v>774</v>
      </c>
      <c r="N50" s="2"/>
      <c r="O50" s="2"/>
      <c r="P50" s="2"/>
    </row>
    <row r="51" spans="1:16" ht="27.6">
      <c r="A51" s="2" t="s">
        <v>782</v>
      </c>
      <c r="B51" s="2" t="s">
        <v>143</v>
      </c>
      <c r="C51" s="2" t="s">
        <v>142</v>
      </c>
      <c r="D51" s="2" t="s">
        <v>624</v>
      </c>
      <c r="E51" s="2" t="s">
        <v>624</v>
      </c>
      <c r="F51" s="2"/>
      <c r="G51" s="2" t="s">
        <v>631</v>
      </c>
      <c r="H51" s="2" t="s">
        <v>783</v>
      </c>
      <c r="I51" s="2"/>
      <c r="J51" s="2" t="s">
        <v>634</v>
      </c>
      <c r="K51" s="2" t="s">
        <v>635</v>
      </c>
      <c r="L51" s="2" t="s">
        <v>784</v>
      </c>
      <c r="M51" s="2" t="s">
        <v>785</v>
      </c>
      <c r="N51" s="2" t="s">
        <v>631</v>
      </c>
      <c r="O51" s="2" t="s">
        <v>634</v>
      </c>
      <c r="P51" s="2"/>
    </row>
    <row r="52" spans="1:16" ht="27.6">
      <c r="A52" s="2" t="s">
        <v>786</v>
      </c>
      <c r="B52" s="2" t="s">
        <v>148</v>
      </c>
      <c r="C52" s="2" t="s">
        <v>147</v>
      </c>
      <c r="D52" s="2" t="s">
        <v>624</v>
      </c>
      <c r="E52" s="2" t="s">
        <v>624</v>
      </c>
      <c r="F52" s="2"/>
      <c r="G52" s="2" t="s">
        <v>787</v>
      </c>
      <c r="H52" s="2" t="s">
        <v>788</v>
      </c>
      <c r="I52" s="2" t="s">
        <v>789</v>
      </c>
      <c r="J52" s="2" t="s">
        <v>634</v>
      </c>
      <c r="K52" s="2" t="s">
        <v>635</v>
      </c>
      <c r="L52" s="2" t="s">
        <v>784</v>
      </c>
      <c r="M52" s="2" t="s">
        <v>785</v>
      </c>
      <c r="N52" s="2" t="s">
        <v>631</v>
      </c>
      <c r="O52" s="2" t="s">
        <v>634</v>
      </c>
      <c r="P52" s="2"/>
    </row>
    <row r="53" spans="1:16" ht="27.6">
      <c r="A53" s="2" t="s">
        <v>790</v>
      </c>
      <c r="B53" s="2" t="s">
        <v>151</v>
      </c>
      <c r="C53" s="2" t="s">
        <v>150</v>
      </c>
      <c r="D53" s="2" t="s">
        <v>624</v>
      </c>
      <c r="E53" s="2" t="s">
        <v>624</v>
      </c>
      <c r="F53" s="2"/>
      <c r="G53" s="2" t="s">
        <v>791</v>
      </c>
      <c r="H53" s="2" t="s">
        <v>692</v>
      </c>
      <c r="I53" s="2" t="s">
        <v>792</v>
      </c>
      <c r="J53" s="2" t="s">
        <v>634</v>
      </c>
      <c r="K53" s="2" t="s">
        <v>635</v>
      </c>
      <c r="L53" s="2"/>
      <c r="M53" s="2"/>
      <c r="N53" s="2"/>
      <c r="O53" s="2"/>
      <c r="P53" s="2"/>
    </row>
    <row r="54" spans="1:16" ht="27.6">
      <c r="A54" s="2" t="s">
        <v>793</v>
      </c>
      <c r="B54" s="2" t="s">
        <v>153</v>
      </c>
      <c r="C54" s="2" t="s">
        <v>152</v>
      </c>
      <c r="D54" s="2" t="s">
        <v>624</v>
      </c>
      <c r="E54" s="2" t="s">
        <v>624</v>
      </c>
      <c r="F54" s="2"/>
      <c r="G54" s="2" t="s">
        <v>794</v>
      </c>
      <c r="H54" s="2"/>
      <c r="I54" s="2" t="s">
        <v>795</v>
      </c>
      <c r="J54" s="2" t="s">
        <v>634</v>
      </c>
      <c r="K54" s="2" t="s">
        <v>635</v>
      </c>
      <c r="L54" s="2"/>
      <c r="M54" s="2"/>
      <c r="N54" s="2"/>
      <c r="O54" s="2"/>
      <c r="P54" s="2"/>
    </row>
    <row r="55" spans="1:16" ht="27.6">
      <c r="A55" s="2" t="s">
        <v>796</v>
      </c>
      <c r="B55" s="2" t="s">
        <v>156</v>
      </c>
      <c r="C55" s="2" t="s">
        <v>155</v>
      </c>
      <c r="D55" s="2" t="s">
        <v>624</v>
      </c>
      <c r="E55" s="2"/>
      <c r="F55" s="2"/>
      <c r="G55" s="2" t="s">
        <v>632</v>
      </c>
      <c r="H55" s="2"/>
      <c r="I55" s="2" t="s">
        <v>797</v>
      </c>
      <c r="J55" s="2" t="s">
        <v>634</v>
      </c>
      <c r="K55" s="2" t="s">
        <v>635</v>
      </c>
      <c r="L55" s="2"/>
      <c r="M55" s="2"/>
      <c r="N55" s="2"/>
      <c r="O55" s="2"/>
      <c r="P55" s="2"/>
    </row>
    <row r="56" spans="1:16" ht="27.6">
      <c r="A56" s="2" t="s">
        <v>798</v>
      </c>
      <c r="B56" s="2" t="s">
        <v>159</v>
      </c>
      <c r="C56" s="2" t="s">
        <v>158</v>
      </c>
      <c r="D56" s="2" t="s">
        <v>624</v>
      </c>
      <c r="E56" s="2" t="s">
        <v>624</v>
      </c>
      <c r="F56" s="2"/>
      <c r="G56" s="2" t="s">
        <v>631</v>
      </c>
      <c r="H56" s="2"/>
      <c r="I56" s="2" t="s">
        <v>799</v>
      </c>
      <c r="J56" s="2" t="s">
        <v>636</v>
      </c>
      <c r="K56" s="2" t="s">
        <v>735</v>
      </c>
      <c r="L56" s="2"/>
      <c r="M56" s="2"/>
      <c r="N56" s="2"/>
      <c r="O56" s="2"/>
      <c r="P56" s="2"/>
    </row>
    <row r="57" spans="1:16" ht="27.6">
      <c r="A57" s="2" t="s">
        <v>800</v>
      </c>
      <c r="B57" s="2" t="s">
        <v>161</v>
      </c>
      <c r="C57" s="2" t="s">
        <v>160</v>
      </c>
      <c r="D57" s="2" t="s">
        <v>624</v>
      </c>
      <c r="E57" s="2" t="s">
        <v>624</v>
      </c>
      <c r="F57" s="2"/>
      <c r="G57" s="2" t="s">
        <v>632</v>
      </c>
      <c r="H57" s="2" t="s">
        <v>657</v>
      </c>
      <c r="I57" s="2" t="s">
        <v>801</v>
      </c>
      <c r="J57" s="2" t="s">
        <v>634</v>
      </c>
      <c r="K57" s="2" t="s">
        <v>635</v>
      </c>
      <c r="L57" s="2"/>
      <c r="M57" s="2"/>
      <c r="N57" s="2"/>
      <c r="O57" s="2"/>
      <c r="P57" s="2"/>
    </row>
    <row r="58" spans="1:16" ht="27.6">
      <c r="A58" s="2" t="s">
        <v>802</v>
      </c>
      <c r="B58" s="2" t="s">
        <v>163</v>
      </c>
      <c r="C58" s="2" t="s">
        <v>162</v>
      </c>
      <c r="D58" s="2" t="s">
        <v>624</v>
      </c>
      <c r="E58" s="2"/>
      <c r="F58" s="2"/>
      <c r="G58" s="2" t="s">
        <v>632</v>
      </c>
      <c r="H58" s="2"/>
      <c r="I58" s="2" t="s">
        <v>803</v>
      </c>
      <c r="J58" s="2" t="s">
        <v>634</v>
      </c>
      <c r="K58" s="2" t="s">
        <v>635</v>
      </c>
      <c r="L58" s="2"/>
      <c r="M58" s="2"/>
      <c r="N58" s="2"/>
      <c r="O58" s="2"/>
      <c r="P58" s="2"/>
    </row>
    <row r="59" spans="1:16">
      <c r="A59" s="2" t="s">
        <v>804</v>
      </c>
      <c r="B59" s="2" t="s">
        <v>165</v>
      </c>
      <c r="C59" s="2" t="s">
        <v>164</v>
      </c>
      <c r="D59" s="2" t="s">
        <v>624</v>
      </c>
      <c r="E59" s="2" t="s">
        <v>624</v>
      </c>
      <c r="F59" s="2"/>
      <c r="G59" s="2" t="s">
        <v>805</v>
      </c>
      <c r="H59" s="2"/>
      <c r="I59" s="2" t="s">
        <v>806</v>
      </c>
      <c r="J59" s="2" t="s">
        <v>638</v>
      </c>
      <c r="K59" s="2" t="s">
        <v>735</v>
      </c>
      <c r="L59" s="2"/>
      <c r="M59" s="2"/>
      <c r="N59" s="2"/>
      <c r="O59" s="2"/>
      <c r="P59" s="2"/>
    </row>
    <row r="60" spans="1:16">
      <c r="A60" s="2" t="s">
        <v>807</v>
      </c>
      <c r="B60" s="2" t="s">
        <v>167</v>
      </c>
      <c r="C60" s="2" t="s">
        <v>166</v>
      </c>
      <c r="D60" s="2" t="s">
        <v>624</v>
      </c>
      <c r="E60" s="2" t="s">
        <v>624</v>
      </c>
      <c r="F60" s="2"/>
      <c r="G60" s="2" t="s">
        <v>808</v>
      </c>
      <c r="H60" s="2"/>
      <c r="I60" s="2" t="s">
        <v>809</v>
      </c>
      <c r="J60" s="2" t="s">
        <v>638</v>
      </c>
      <c r="K60" s="2" t="s">
        <v>735</v>
      </c>
      <c r="L60" s="2"/>
      <c r="M60" s="2"/>
      <c r="N60" s="2"/>
      <c r="O60" s="2"/>
      <c r="P60" s="2"/>
    </row>
    <row r="61" spans="1:16" ht="27.6">
      <c r="A61" s="2" t="s">
        <v>810</v>
      </c>
      <c r="B61" s="2" t="s">
        <v>169</v>
      </c>
      <c r="C61" s="2" t="s">
        <v>168</v>
      </c>
      <c r="D61" s="2" t="s">
        <v>624</v>
      </c>
      <c r="E61" s="2" t="s">
        <v>624</v>
      </c>
      <c r="F61" s="2"/>
      <c r="G61" s="2" t="s">
        <v>811</v>
      </c>
      <c r="H61" s="2"/>
      <c r="I61" s="2" t="s">
        <v>812</v>
      </c>
      <c r="J61" s="2" t="s">
        <v>638</v>
      </c>
      <c r="K61" s="2" t="s">
        <v>735</v>
      </c>
      <c r="L61" s="2"/>
      <c r="M61" s="2"/>
      <c r="N61" s="2"/>
      <c r="O61" s="2"/>
      <c r="P61" s="2"/>
    </row>
    <row r="62" spans="1:16">
      <c r="A62" s="2" t="s">
        <v>813</v>
      </c>
      <c r="B62" s="2" t="s">
        <v>171</v>
      </c>
      <c r="C62" s="2" t="s">
        <v>170</v>
      </c>
      <c r="D62" s="2" t="s">
        <v>624</v>
      </c>
      <c r="E62" s="2" t="s">
        <v>624</v>
      </c>
      <c r="F62" s="2"/>
      <c r="G62" s="2" t="s">
        <v>811</v>
      </c>
      <c r="H62" s="2"/>
      <c r="I62" s="2" t="s">
        <v>814</v>
      </c>
      <c r="J62" s="2" t="s">
        <v>636</v>
      </c>
      <c r="K62" s="2" t="s">
        <v>735</v>
      </c>
      <c r="L62" s="2"/>
      <c r="M62" s="2"/>
      <c r="N62" s="2"/>
      <c r="O62" s="2"/>
      <c r="P62" s="2"/>
    </row>
    <row r="63" spans="1:16">
      <c r="A63" s="2" t="s">
        <v>815</v>
      </c>
      <c r="B63" s="2" t="s">
        <v>173</v>
      </c>
      <c r="C63" s="2" t="s">
        <v>172</v>
      </c>
      <c r="D63" s="2" t="s">
        <v>624</v>
      </c>
      <c r="E63" s="2" t="s">
        <v>624</v>
      </c>
      <c r="F63" s="2"/>
      <c r="G63" s="2" t="s">
        <v>808</v>
      </c>
      <c r="H63" s="2"/>
      <c r="I63" s="2" t="s">
        <v>816</v>
      </c>
      <c r="J63" s="2" t="s">
        <v>638</v>
      </c>
      <c r="K63" s="2" t="s">
        <v>735</v>
      </c>
      <c r="L63" s="2"/>
      <c r="M63" s="2"/>
      <c r="N63" s="2"/>
      <c r="O63" s="2"/>
      <c r="P63" s="2"/>
    </row>
    <row r="64" spans="1:16" ht="27.6">
      <c r="A64" s="2" t="s">
        <v>817</v>
      </c>
      <c r="B64" s="2" t="s">
        <v>175</v>
      </c>
      <c r="C64" s="2" t="s">
        <v>174</v>
      </c>
      <c r="D64" s="2" t="s">
        <v>624</v>
      </c>
      <c r="E64" s="2" t="s">
        <v>624</v>
      </c>
      <c r="F64" s="2"/>
      <c r="G64" s="2" t="s">
        <v>730</v>
      </c>
      <c r="H64" s="2"/>
      <c r="I64" s="2" t="s">
        <v>818</v>
      </c>
      <c r="J64" s="2" t="s">
        <v>634</v>
      </c>
      <c r="K64" s="2" t="s">
        <v>635</v>
      </c>
      <c r="L64" s="2"/>
      <c r="M64" s="2"/>
      <c r="N64" s="2"/>
      <c r="O64" s="2"/>
      <c r="P64" s="2"/>
    </row>
    <row r="65" spans="1:16">
      <c r="A65" s="2" t="s">
        <v>819</v>
      </c>
      <c r="B65" s="2" t="s">
        <v>177</v>
      </c>
      <c r="C65" s="2" t="s">
        <v>176</v>
      </c>
      <c r="D65" s="2" t="s">
        <v>624</v>
      </c>
      <c r="E65" s="2" t="s">
        <v>624</v>
      </c>
      <c r="F65" s="2"/>
      <c r="G65" s="2" t="s">
        <v>808</v>
      </c>
      <c r="H65" s="2"/>
      <c r="I65" s="2" t="s">
        <v>820</v>
      </c>
      <c r="J65" s="2" t="s">
        <v>641</v>
      </c>
      <c r="K65" s="2" t="s">
        <v>735</v>
      </c>
      <c r="L65" s="2"/>
      <c r="M65" s="2"/>
      <c r="N65" s="2"/>
      <c r="O65" s="2"/>
      <c r="P65" s="2"/>
    </row>
    <row r="66" spans="1:16">
      <c r="A66" s="2" t="s">
        <v>821</v>
      </c>
      <c r="B66" s="2" t="s">
        <v>179</v>
      </c>
      <c r="C66" s="2" t="s">
        <v>178</v>
      </c>
      <c r="D66" s="2" t="s">
        <v>624</v>
      </c>
      <c r="E66" s="2" t="s">
        <v>624</v>
      </c>
      <c r="F66" s="2"/>
      <c r="G66" s="2" t="s">
        <v>808</v>
      </c>
      <c r="H66" s="2"/>
      <c r="I66" s="2" t="s">
        <v>822</v>
      </c>
      <c r="J66" s="2" t="s">
        <v>636</v>
      </c>
      <c r="K66" s="2" t="s">
        <v>735</v>
      </c>
      <c r="L66" s="2"/>
      <c r="M66" s="2"/>
      <c r="N66" s="2"/>
      <c r="O66" s="2"/>
      <c r="P66" s="2"/>
    </row>
    <row r="67" spans="1:16">
      <c r="A67" s="2" t="s">
        <v>823</v>
      </c>
      <c r="B67" s="2" t="s">
        <v>181</v>
      </c>
      <c r="C67" s="2" t="s">
        <v>180</v>
      </c>
      <c r="D67" s="2" t="s">
        <v>624</v>
      </c>
      <c r="E67" s="2" t="s">
        <v>624</v>
      </c>
      <c r="F67" s="2"/>
      <c r="G67" s="2" t="s">
        <v>808</v>
      </c>
      <c r="H67" s="2"/>
      <c r="I67" s="2" t="s">
        <v>824</v>
      </c>
      <c r="J67" s="2" t="s">
        <v>648</v>
      </c>
      <c r="K67" s="2" t="s">
        <v>735</v>
      </c>
      <c r="L67" s="2"/>
      <c r="M67" s="2"/>
      <c r="N67" s="2"/>
      <c r="O67" s="2"/>
      <c r="P67" s="2"/>
    </row>
    <row r="68" spans="1:16" ht="27.6">
      <c r="A68" s="2" t="s">
        <v>825</v>
      </c>
      <c r="B68" s="2" t="s">
        <v>183</v>
      </c>
      <c r="C68" s="2" t="s">
        <v>182</v>
      </c>
      <c r="D68" s="2" t="s">
        <v>624</v>
      </c>
      <c r="E68" s="2"/>
      <c r="F68" s="2"/>
      <c r="G68" s="2" t="s">
        <v>730</v>
      </c>
      <c r="H68" s="2"/>
      <c r="I68" s="2"/>
      <c r="J68" s="2" t="s">
        <v>634</v>
      </c>
      <c r="K68" s="2" t="s">
        <v>635</v>
      </c>
      <c r="L68" s="2"/>
      <c r="M68" s="2"/>
      <c r="N68" s="2"/>
      <c r="O68" s="2"/>
      <c r="P68" s="2"/>
    </row>
    <row r="69" spans="1:16" ht="27.6">
      <c r="A69" s="2" t="s">
        <v>826</v>
      </c>
      <c r="B69" s="2" t="s">
        <v>185</v>
      </c>
      <c r="C69" s="2" t="s">
        <v>184</v>
      </c>
      <c r="D69" s="2" t="s">
        <v>624</v>
      </c>
      <c r="E69" s="2" t="s">
        <v>624</v>
      </c>
      <c r="F69" s="2"/>
      <c r="G69" s="2" t="s">
        <v>827</v>
      </c>
      <c r="H69" s="2" t="s">
        <v>828</v>
      </c>
      <c r="I69" s="2" t="s">
        <v>829</v>
      </c>
      <c r="J69" s="2" t="s">
        <v>627</v>
      </c>
      <c r="K69" s="2" t="s">
        <v>830</v>
      </c>
      <c r="L69" s="2"/>
      <c r="M69" s="2"/>
      <c r="N69" s="2"/>
      <c r="O69" s="2"/>
      <c r="P69" s="2"/>
    </row>
    <row r="70" spans="1:16" ht="27.6">
      <c r="A70" s="2" t="s">
        <v>831</v>
      </c>
      <c r="B70" s="2" t="s">
        <v>188</v>
      </c>
      <c r="C70" s="2" t="s">
        <v>187</v>
      </c>
      <c r="D70" s="2" t="s">
        <v>624</v>
      </c>
      <c r="E70" s="2"/>
      <c r="F70" s="2"/>
      <c r="G70" s="2" t="s">
        <v>811</v>
      </c>
      <c r="H70" s="2"/>
      <c r="I70" s="2"/>
      <c r="J70" s="2" t="s">
        <v>634</v>
      </c>
      <c r="K70" s="2" t="s">
        <v>635</v>
      </c>
      <c r="L70" s="2"/>
      <c r="M70" s="2"/>
      <c r="N70" s="2"/>
      <c r="O70" s="2"/>
      <c r="P70" s="2"/>
    </row>
    <row r="71" spans="1:16" ht="27.6">
      <c r="A71" s="2" t="s">
        <v>832</v>
      </c>
      <c r="B71" s="2" t="s">
        <v>190</v>
      </c>
      <c r="C71" s="2" t="s">
        <v>189</v>
      </c>
      <c r="D71" s="2" t="s">
        <v>624</v>
      </c>
      <c r="E71" s="2"/>
      <c r="F71" s="2"/>
      <c r="G71" s="2" t="s">
        <v>827</v>
      </c>
      <c r="H71" s="2"/>
      <c r="I71" s="2"/>
      <c r="J71" s="2" t="s">
        <v>634</v>
      </c>
      <c r="K71" s="2" t="s">
        <v>635</v>
      </c>
      <c r="L71" s="2"/>
      <c r="M71" s="2"/>
      <c r="N71" s="2"/>
      <c r="O71" s="2"/>
      <c r="P71" s="2"/>
    </row>
    <row r="72" spans="1:16">
      <c r="A72" s="2" t="s">
        <v>833</v>
      </c>
      <c r="B72" s="2" t="s">
        <v>192</v>
      </c>
      <c r="C72" s="2" t="s">
        <v>191</v>
      </c>
      <c r="D72" s="2" t="s">
        <v>624</v>
      </c>
      <c r="E72" s="2" t="s">
        <v>624</v>
      </c>
      <c r="F72" s="2"/>
      <c r="G72" s="2" t="s">
        <v>827</v>
      </c>
      <c r="H72" s="2"/>
      <c r="I72" s="2" t="s">
        <v>834</v>
      </c>
      <c r="J72" s="2" t="s">
        <v>636</v>
      </c>
      <c r="K72" s="2" t="s">
        <v>830</v>
      </c>
      <c r="L72" s="2"/>
      <c r="M72" s="2"/>
      <c r="N72" s="2"/>
      <c r="O72" s="2"/>
      <c r="P72" s="2"/>
    </row>
    <row r="73" spans="1:16">
      <c r="A73" s="2" t="s">
        <v>835</v>
      </c>
      <c r="B73" s="2" t="s">
        <v>194</v>
      </c>
      <c r="C73" s="2" t="s">
        <v>193</v>
      </c>
      <c r="D73" s="2" t="s">
        <v>624</v>
      </c>
      <c r="E73" s="2" t="s">
        <v>624</v>
      </c>
      <c r="F73" s="2"/>
      <c r="G73" s="2" t="s">
        <v>808</v>
      </c>
      <c r="H73" s="2"/>
      <c r="I73" s="2" t="s">
        <v>836</v>
      </c>
      <c r="J73" s="2" t="s">
        <v>627</v>
      </c>
      <c r="K73" s="2" t="s">
        <v>830</v>
      </c>
      <c r="L73" s="2"/>
      <c r="M73" s="2"/>
      <c r="N73" s="2"/>
      <c r="O73" s="2"/>
      <c r="P73" s="2"/>
    </row>
    <row r="74" spans="1:16" ht="27.6">
      <c r="A74" s="2" t="s">
        <v>837</v>
      </c>
      <c r="B74" s="2" t="s">
        <v>196</v>
      </c>
      <c r="C74" s="2" t="s">
        <v>195</v>
      </c>
      <c r="D74" s="2" t="s">
        <v>624</v>
      </c>
      <c r="E74" s="2" t="s">
        <v>624</v>
      </c>
      <c r="F74" s="2"/>
      <c r="G74" s="2" t="s">
        <v>827</v>
      </c>
      <c r="H74" s="2"/>
      <c r="I74" s="2"/>
      <c r="J74" s="2" t="s">
        <v>634</v>
      </c>
      <c r="K74" s="2" t="s">
        <v>635</v>
      </c>
      <c r="L74" s="2"/>
      <c r="M74" s="2"/>
      <c r="N74" s="2"/>
      <c r="O74" s="2"/>
      <c r="P74" s="2"/>
    </row>
    <row r="75" spans="1:16">
      <c r="A75" s="2" t="s">
        <v>838</v>
      </c>
      <c r="B75" s="2" t="s">
        <v>198</v>
      </c>
      <c r="C75" s="2" t="s">
        <v>197</v>
      </c>
      <c r="D75" s="2" t="s">
        <v>624</v>
      </c>
      <c r="E75" s="2" t="s">
        <v>624</v>
      </c>
      <c r="F75" s="2"/>
      <c r="G75" s="2" t="s">
        <v>827</v>
      </c>
      <c r="H75" s="2"/>
      <c r="I75" s="2" t="s">
        <v>839</v>
      </c>
      <c r="J75" s="2" t="s">
        <v>638</v>
      </c>
      <c r="K75" s="2" t="s">
        <v>830</v>
      </c>
      <c r="L75" s="2"/>
      <c r="M75" s="2"/>
      <c r="N75" s="2"/>
      <c r="O75" s="2"/>
      <c r="P75" s="2"/>
    </row>
    <row r="76" spans="1:16">
      <c r="A76" s="2" t="s">
        <v>840</v>
      </c>
      <c r="B76" s="2" t="s">
        <v>200</v>
      </c>
      <c r="C76" s="2" t="s">
        <v>199</v>
      </c>
      <c r="D76" s="2" t="s">
        <v>624</v>
      </c>
      <c r="E76" s="2" t="s">
        <v>624</v>
      </c>
      <c r="F76" s="2"/>
      <c r="G76" s="2" t="s">
        <v>827</v>
      </c>
      <c r="H76" s="2"/>
      <c r="I76" s="2" t="s">
        <v>841</v>
      </c>
      <c r="J76" s="2" t="s">
        <v>638</v>
      </c>
      <c r="K76" s="2" t="s">
        <v>830</v>
      </c>
      <c r="L76" s="2"/>
      <c r="M76" s="2"/>
      <c r="N76" s="2"/>
      <c r="O76" s="2"/>
      <c r="P76" s="2"/>
    </row>
    <row r="77" spans="1:16">
      <c r="A77" s="2" t="s">
        <v>842</v>
      </c>
      <c r="B77" s="2" t="s">
        <v>202</v>
      </c>
      <c r="C77" s="2" t="s">
        <v>201</v>
      </c>
      <c r="D77" s="2" t="s">
        <v>624</v>
      </c>
      <c r="E77" s="2" t="s">
        <v>624</v>
      </c>
      <c r="F77" s="2"/>
      <c r="G77" s="2" t="s">
        <v>808</v>
      </c>
      <c r="H77" s="2"/>
      <c r="I77" s="2" t="s">
        <v>843</v>
      </c>
      <c r="J77" s="2" t="s">
        <v>638</v>
      </c>
      <c r="K77" s="2" t="s">
        <v>830</v>
      </c>
      <c r="L77" s="2"/>
      <c r="M77" s="2"/>
      <c r="N77" s="2"/>
      <c r="O77" s="2"/>
      <c r="P77" s="2"/>
    </row>
    <row r="78" spans="1:16">
      <c r="A78" s="2" t="s">
        <v>844</v>
      </c>
      <c r="B78" s="2" t="s">
        <v>204</v>
      </c>
      <c r="C78" s="2" t="s">
        <v>203</v>
      </c>
      <c r="D78" s="2" t="s">
        <v>624</v>
      </c>
      <c r="E78" s="2" t="s">
        <v>624</v>
      </c>
      <c r="F78" s="2"/>
      <c r="G78" s="2" t="s">
        <v>808</v>
      </c>
      <c r="H78" s="2"/>
      <c r="I78" s="2" t="s">
        <v>845</v>
      </c>
      <c r="J78" s="2" t="s">
        <v>636</v>
      </c>
      <c r="K78" s="2" t="s">
        <v>830</v>
      </c>
      <c r="L78" s="2"/>
      <c r="M78" s="2"/>
      <c r="N78" s="2"/>
      <c r="O78" s="2"/>
      <c r="P78" s="2"/>
    </row>
    <row r="79" spans="1:16">
      <c r="A79" s="2" t="s">
        <v>846</v>
      </c>
      <c r="B79" s="2" t="s">
        <v>206</v>
      </c>
      <c r="C79" s="2" t="s">
        <v>205</v>
      </c>
      <c r="D79" s="2" t="s">
        <v>624</v>
      </c>
      <c r="E79" s="2" t="s">
        <v>624</v>
      </c>
      <c r="F79" s="2"/>
      <c r="G79" s="2" t="s">
        <v>631</v>
      </c>
      <c r="H79" s="2"/>
      <c r="I79" s="2" t="s">
        <v>847</v>
      </c>
      <c r="J79" s="2" t="s">
        <v>644</v>
      </c>
      <c r="K79" s="2" t="s">
        <v>830</v>
      </c>
      <c r="L79" s="2"/>
      <c r="M79" s="2"/>
      <c r="N79" s="2"/>
      <c r="O79" s="2"/>
      <c r="P79" s="2"/>
    </row>
    <row r="80" spans="1:16">
      <c r="A80" s="2" t="s">
        <v>848</v>
      </c>
      <c r="B80" s="2" t="s">
        <v>208</v>
      </c>
      <c r="C80" s="2" t="s">
        <v>207</v>
      </c>
      <c r="D80" s="2" t="s">
        <v>624</v>
      </c>
      <c r="E80" s="2" t="s">
        <v>624</v>
      </c>
      <c r="F80" s="2"/>
      <c r="G80" s="2" t="s">
        <v>730</v>
      </c>
      <c r="H80" s="2"/>
      <c r="I80" s="2" t="s">
        <v>849</v>
      </c>
      <c r="J80" s="2" t="s">
        <v>636</v>
      </c>
      <c r="K80" s="2" t="s">
        <v>830</v>
      </c>
      <c r="L80" s="2"/>
      <c r="M80" s="2"/>
      <c r="N80" s="2"/>
      <c r="O80" s="2"/>
      <c r="P80" s="2"/>
    </row>
    <row r="81" spans="1:16" ht="27.6">
      <c r="A81" s="2" t="s">
        <v>850</v>
      </c>
      <c r="B81" s="2" t="s">
        <v>210</v>
      </c>
      <c r="C81" s="2" t="s">
        <v>209</v>
      </c>
      <c r="D81" s="2" t="s">
        <v>624</v>
      </c>
      <c r="E81" s="2" t="s">
        <v>624</v>
      </c>
      <c r="F81" s="2"/>
      <c r="G81" s="2" t="s">
        <v>851</v>
      </c>
      <c r="H81" s="2" t="s">
        <v>657</v>
      </c>
      <c r="I81" s="2" t="s">
        <v>852</v>
      </c>
      <c r="J81" s="2" t="s">
        <v>634</v>
      </c>
      <c r="K81" s="2" t="s">
        <v>635</v>
      </c>
      <c r="L81" s="2"/>
      <c r="M81" s="2"/>
      <c r="N81" s="2"/>
      <c r="O81" s="2"/>
      <c r="P81" s="2"/>
    </row>
    <row r="82" spans="1:16" ht="27.6">
      <c r="A82" s="2" t="s">
        <v>853</v>
      </c>
      <c r="B82" s="2" t="s">
        <v>213</v>
      </c>
      <c r="C82" s="2" t="s">
        <v>212</v>
      </c>
      <c r="D82" s="2" t="s">
        <v>624</v>
      </c>
      <c r="E82" s="2" t="s">
        <v>624</v>
      </c>
      <c r="F82" s="2"/>
      <c r="G82" s="2" t="s">
        <v>851</v>
      </c>
      <c r="H82" s="2" t="s">
        <v>657</v>
      </c>
      <c r="I82" s="2" t="s">
        <v>854</v>
      </c>
      <c r="J82" s="2" t="s">
        <v>634</v>
      </c>
      <c r="K82" s="2" t="s">
        <v>635</v>
      </c>
      <c r="L82" s="2"/>
      <c r="M82" s="2"/>
      <c r="N82" s="2"/>
      <c r="O82" s="2"/>
      <c r="P82" s="2"/>
    </row>
    <row r="83" spans="1:16" ht="27.6">
      <c r="A83" s="2" t="s">
        <v>855</v>
      </c>
      <c r="B83" s="2" t="s">
        <v>215</v>
      </c>
      <c r="C83" s="2" t="s">
        <v>214</v>
      </c>
      <c r="D83" s="2" t="s">
        <v>624</v>
      </c>
      <c r="E83" s="2" t="s">
        <v>624</v>
      </c>
      <c r="F83" s="2"/>
      <c r="G83" s="2" t="s">
        <v>856</v>
      </c>
      <c r="H83" s="2" t="s">
        <v>657</v>
      </c>
      <c r="I83" s="2" t="s">
        <v>857</v>
      </c>
      <c r="J83" s="2" t="s">
        <v>634</v>
      </c>
      <c r="K83" s="2" t="s">
        <v>635</v>
      </c>
      <c r="L83" s="2"/>
      <c r="M83" s="2"/>
      <c r="N83" s="2"/>
      <c r="O83" s="2"/>
      <c r="P83" s="2"/>
    </row>
    <row r="84" spans="1:16" ht="27.6">
      <c r="A84" s="2" t="s">
        <v>858</v>
      </c>
      <c r="B84" s="2" t="s">
        <v>217</v>
      </c>
      <c r="C84" s="2" t="s">
        <v>216</v>
      </c>
      <c r="D84" s="2" t="s">
        <v>624</v>
      </c>
      <c r="E84" s="2" t="s">
        <v>624</v>
      </c>
      <c r="F84" s="2"/>
      <c r="G84" s="2" t="s">
        <v>631</v>
      </c>
      <c r="H84" s="2"/>
      <c r="I84" s="2" t="s">
        <v>859</v>
      </c>
      <c r="J84" s="2" t="s">
        <v>634</v>
      </c>
      <c r="K84" s="2" t="s">
        <v>635</v>
      </c>
      <c r="L84" s="2"/>
      <c r="M84" s="2"/>
      <c r="N84" s="2"/>
      <c r="O84" s="2"/>
      <c r="P84" s="2"/>
    </row>
    <row r="85" spans="1:16">
      <c r="A85" s="2" t="s">
        <v>860</v>
      </c>
      <c r="B85" s="2" t="s">
        <v>220</v>
      </c>
      <c r="C85" s="2" t="s">
        <v>219</v>
      </c>
      <c r="D85" s="2" t="s">
        <v>624</v>
      </c>
      <c r="E85" s="2" t="s">
        <v>624</v>
      </c>
      <c r="F85" s="2"/>
      <c r="G85" s="2" t="s">
        <v>861</v>
      </c>
      <c r="H85" s="2"/>
      <c r="I85" s="2" t="s">
        <v>862</v>
      </c>
      <c r="J85" s="2" t="s">
        <v>641</v>
      </c>
      <c r="K85" s="2" t="s">
        <v>830</v>
      </c>
      <c r="L85" s="2"/>
      <c r="M85" s="2"/>
      <c r="N85" s="2"/>
      <c r="O85" s="2"/>
      <c r="P85" s="2"/>
    </row>
    <row r="86" spans="1:16">
      <c r="A86" s="2" t="s">
        <v>863</v>
      </c>
      <c r="B86" s="2" t="s">
        <v>223</v>
      </c>
      <c r="C86" s="2" t="s">
        <v>222</v>
      </c>
      <c r="D86" s="2" t="s">
        <v>624</v>
      </c>
      <c r="E86" s="2" t="s">
        <v>624</v>
      </c>
      <c r="F86" s="2"/>
      <c r="G86" s="2" t="s">
        <v>864</v>
      </c>
      <c r="H86" s="2"/>
      <c r="I86" s="2" t="s">
        <v>865</v>
      </c>
      <c r="J86" s="2" t="s">
        <v>627</v>
      </c>
      <c r="K86" s="2" t="s">
        <v>830</v>
      </c>
      <c r="L86" s="2"/>
      <c r="M86" s="2"/>
      <c r="N86" s="2"/>
      <c r="O86" s="2"/>
      <c r="P86" s="2"/>
    </row>
    <row r="87" spans="1:16">
      <c r="A87" s="2" t="s">
        <v>866</v>
      </c>
      <c r="B87" s="2" t="s">
        <v>225</v>
      </c>
      <c r="C87" s="2" t="s">
        <v>224</v>
      </c>
      <c r="D87" s="2" t="s">
        <v>624</v>
      </c>
      <c r="E87" s="2" t="s">
        <v>624</v>
      </c>
      <c r="F87" s="2"/>
      <c r="G87" s="2" t="s">
        <v>864</v>
      </c>
      <c r="H87" s="2"/>
      <c r="I87" s="2" t="s">
        <v>867</v>
      </c>
      <c r="J87" s="2" t="s">
        <v>638</v>
      </c>
      <c r="K87" s="2" t="s">
        <v>830</v>
      </c>
      <c r="L87" s="2"/>
      <c r="M87" s="2"/>
      <c r="N87" s="2"/>
      <c r="O87" s="2"/>
      <c r="P87" s="2"/>
    </row>
    <row r="88" spans="1:16">
      <c r="A88" s="2" t="s">
        <v>868</v>
      </c>
      <c r="B88" s="2" t="s">
        <v>227</v>
      </c>
      <c r="C88" s="2" t="s">
        <v>226</v>
      </c>
      <c r="D88" s="2" t="s">
        <v>624</v>
      </c>
      <c r="E88" s="2" t="s">
        <v>624</v>
      </c>
      <c r="F88" s="2"/>
      <c r="G88" s="2" t="s">
        <v>864</v>
      </c>
      <c r="H88" s="2"/>
      <c r="I88" s="2" t="s">
        <v>869</v>
      </c>
      <c r="J88" s="2" t="s">
        <v>638</v>
      </c>
      <c r="K88" s="2" t="s">
        <v>830</v>
      </c>
      <c r="L88" s="2"/>
      <c r="M88" s="2"/>
      <c r="N88" s="2"/>
      <c r="O88" s="2"/>
      <c r="P88" s="2"/>
    </row>
    <row r="89" spans="1:16" ht="27.6">
      <c r="A89" s="2" t="s">
        <v>870</v>
      </c>
      <c r="B89" s="2" t="s">
        <v>229</v>
      </c>
      <c r="C89" s="2" t="s">
        <v>228</v>
      </c>
      <c r="D89" s="2" t="s">
        <v>624</v>
      </c>
      <c r="E89" s="2" t="s">
        <v>624</v>
      </c>
      <c r="F89" s="2"/>
      <c r="G89" s="2" t="s">
        <v>871</v>
      </c>
      <c r="H89" s="2" t="s">
        <v>872</v>
      </c>
      <c r="I89" s="2" t="s">
        <v>873</v>
      </c>
      <c r="J89" s="2" t="s">
        <v>634</v>
      </c>
      <c r="K89" s="2" t="s">
        <v>635</v>
      </c>
      <c r="L89" s="2"/>
      <c r="M89" s="2"/>
      <c r="N89" s="2"/>
      <c r="O89" s="2"/>
      <c r="P89" s="2"/>
    </row>
    <row r="90" spans="1:16" ht="27.6">
      <c r="A90" s="2" t="s">
        <v>874</v>
      </c>
      <c r="B90" s="2" t="s">
        <v>232</v>
      </c>
      <c r="C90" s="2" t="s">
        <v>231</v>
      </c>
      <c r="D90" s="2" t="s">
        <v>624</v>
      </c>
      <c r="E90" s="2" t="s">
        <v>624</v>
      </c>
      <c r="F90" s="2"/>
      <c r="G90" s="2" t="s">
        <v>685</v>
      </c>
      <c r="H90" s="2"/>
      <c r="I90" s="2" t="s">
        <v>875</v>
      </c>
      <c r="J90" s="2" t="s">
        <v>627</v>
      </c>
      <c r="K90" s="2" t="s">
        <v>830</v>
      </c>
      <c r="L90" s="2"/>
      <c r="M90" s="2"/>
      <c r="N90" s="2"/>
      <c r="O90" s="2"/>
      <c r="P90" s="2"/>
    </row>
    <row r="91" spans="1:16">
      <c r="A91" s="2" t="s">
        <v>876</v>
      </c>
      <c r="B91" s="2" t="s">
        <v>235</v>
      </c>
      <c r="C91" s="2" t="s">
        <v>234</v>
      </c>
      <c r="D91" s="2" t="s">
        <v>624</v>
      </c>
      <c r="E91" s="2" t="s">
        <v>624</v>
      </c>
      <c r="F91" s="2"/>
      <c r="G91" s="2" t="s">
        <v>631</v>
      </c>
      <c r="H91" s="2" t="s">
        <v>877</v>
      </c>
      <c r="I91" s="2" t="s">
        <v>878</v>
      </c>
      <c r="J91" s="2" t="s">
        <v>627</v>
      </c>
      <c r="K91" s="2" t="s">
        <v>830</v>
      </c>
      <c r="L91" s="2"/>
      <c r="M91" s="2"/>
      <c r="N91" s="2"/>
      <c r="O91" s="2"/>
      <c r="P91" s="2"/>
    </row>
    <row r="92" spans="1:16">
      <c r="A92" s="2" t="s">
        <v>879</v>
      </c>
      <c r="B92" s="2" t="s">
        <v>238</v>
      </c>
      <c r="C92" s="2" t="s">
        <v>237</v>
      </c>
      <c r="D92" s="2" t="s">
        <v>624</v>
      </c>
      <c r="E92" s="2" t="s">
        <v>624</v>
      </c>
      <c r="F92" s="2"/>
      <c r="G92" s="2" t="s">
        <v>631</v>
      </c>
      <c r="H92" s="2"/>
      <c r="I92" s="2" t="s">
        <v>880</v>
      </c>
      <c r="J92" s="2" t="s">
        <v>627</v>
      </c>
      <c r="K92" s="2" t="s">
        <v>830</v>
      </c>
      <c r="L92" s="2"/>
      <c r="M92" s="2"/>
      <c r="N92" s="2"/>
      <c r="O92" s="2"/>
      <c r="P92" s="2"/>
    </row>
    <row r="93" spans="1:16" ht="27.6">
      <c r="A93" s="2" t="s">
        <v>881</v>
      </c>
      <c r="B93" s="2" t="s">
        <v>240</v>
      </c>
      <c r="C93" s="2" t="s">
        <v>239</v>
      </c>
      <c r="D93" s="2" t="s">
        <v>624</v>
      </c>
      <c r="E93" s="2"/>
      <c r="F93" s="2"/>
      <c r="G93" s="2" t="s">
        <v>882</v>
      </c>
      <c r="H93" s="2"/>
      <c r="I93" s="2"/>
      <c r="J93" s="2" t="s">
        <v>634</v>
      </c>
      <c r="K93" s="2" t="s">
        <v>635</v>
      </c>
      <c r="L93" s="2"/>
      <c r="M93" s="2"/>
      <c r="N93" s="2"/>
      <c r="O93" s="2"/>
      <c r="P93" s="2"/>
    </row>
    <row r="94" spans="1:16" ht="27.6">
      <c r="A94" s="2" t="s">
        <v>883</v>
      </c>
      <c r="B94" s="2" t="s">
        <v>243</v>
      </c>
      <c r="C94" s="2" t="s">
        <v>242</v>
      </c>
      <c r="D94" s="2" t="s">
        <v>624</v>
      </c>
      <c r="E94" s="2" t="s">
        <v>624</v>
      </c>
      <c r="F94" s="2"/>
      <c r="G94" s="2" t="s">
        <v>884</v>
      </c>
      <c r="H94" s="2"/>
      <c r="I94" s="2" t="s">
        <v>885</v>
      </c>
      <c r="J94" s="2" t="s">
        <v>627</v>
      </c>
      <c r="K94" s="2" t="s">
        <v>830</v>
      </c>
      <c r="L94" s="2"/>
      <c r="M94" s="2"/>
      <c r="N94" s="2"/>
      <c r="O94" s="2"/>
      <c r="P94" s="2"/>
    </row>
    <row r="95" spans="1:16" ht="27.6">
      <c r="A95" s="2" t="s">
        <v>886</v>
      </c>
      <c r="B95" s="2" t="s">
        <v>245</v>
      </c>
      <c r="C95" s="2" t="s">
        <v>244</v>
      </c>
      <c r="D95" s="2" t="s">
        <v>624</v>
      </c>
      <c r="E95" s="2" t="s">
        <v>624</v>
      </c>
      <c r="F95" s="2"/>
      <c r="G95" s="2" t="s">
        <v>887</v>
      </c>
      <c r="H95" s="2"/>
      <c r="I95" s="2" t="s">
        <v>888</v>
      </c>
      <c r="J95" s="2" t="s">
        <v>634</v>
      </c>
      <c r="K95" s="2" t="s">
        <v>635</v>
      </c>
      <c r="L95" s="2"/>
      <c r="M95" s="2"/>
      <c r="N95" s="2"/>
      <c r="O95" s="2"/>
      <c r="P95" s="2"/>
    </row>
    <row r="96" spans="1:16" ht="27.6">
      <c r="A96" s="2" t="s">
        <v>889</v>
      </c>
      <c r="B96" s="2" t="s">
        <v>247</v>
      </c>
      <c r="C96" s="2" t="s">
        <v>246</v>
      </c>
      <c r="D96" s="2" t="s">
        <v>624</v>
      </c>
      <c r="E96" s="2" t="s">
        <v>624</v>
      </c>
      <c r="F96" s="2"/>
      <c r="G96" s="2" t="s">
        <v>887</v>
      </c>
      <c r="H96" s="2"/>
      <c r="I96" s="2" t="s">
        <v>890</v>
      </c>
      <c r="J96" s="2" t="s">
        <v>634</v>
      </c>
      <c r="K96" s="2" t="s">
        <v>635</v>
      </c>
      <c r="L96" s="2"/>
      <c r="M96" s="2"/>
      <c r="N96" s="2"/>
      <c r="O96" s="2"/>
      <c r="P96" s="2"/>
    </row>
    <row r="97" spans="1:16" ht="27.6">
      <c r="A97" s="2" t="s">
        <v>891</v>
      </c>
      <c r="B97" s="2" t="s">
        <v>249</v>
      </c>
      <c r="C97" s="2" t="s">
        <v>248</v>
      </c>
      <c r="D97" s="2" t="s">
        <v>624</v>
      </c>
      <c r="E97" s="2" t="s">
        <v>624</v>
      </c>
      <c r="F97" s="2"/>
      <c r="G97" s="2" t="s">
        <v>871</v>
      </c>
      <c r="H97" s="2"/>
      <c r="I97" s="2" t="s">
        <v>892</v>
      </c>
      <c r="J97" s="2" t="s">
        <v>627</v>
      </c>
      <c r="K97" s="2" t="s">
        <v>830</v>
      </c>
      <c r="L97" s="2"/>
      <c r="M97" s="2"/>
      <c r="N97" s="2"/>
      <c r="O97" s="2"/>
      <c r="P97" s="2"/>
    </row>
    <row r="98" spans="1:16" ht="27.6">
      <c r="A98" s="2" t="s">
        <v>893</v>
      </c>
      <c r="B98" s="2" t="s">
        <v>251</v>
      </c>
      <c r="C98" s="2" t="s">
        <v>250</v>
      </c>
      <c r="D98" s="2" t="s">
        <v>624</v>
      </c>
      <c r="E98" s="2" t="s">
        <v>624</v>
      </c>
      <c r="F98" s="2"/>
      <c r="G98" s="2" t="s">
        <v>861</v>
      </c>
      <c r="H98" s="2"/>
      <c r="I98" s="2" t="s">
        <v>894</v>
      </c>
      <c r="J98" s="2" t="s">
        <v>634</v>
      </c>
      <c r="K98" s="2" t="s">
        <v>635</v>
      </c>
      <c r="L98" s="2"/>
      <c r="M98" s="2"/>
      <c r="N98" s="2"/>
      <c r="O98" s="2"/>
      <c r="P98" s="2"/>
    </row>
    <row r="99" spans="1:16" ht="27.6">
      <c r="A99" s="2" t="s">
        <v>895</v>
      </c>
      <c r="B99" s="2" t="s">
        <v>253</v>
      </c>
      <c r="C99" s="2" t="s">
        <v>252</v>
      </c>
      <c r="D99" s="2" t="s">
        <v>624</v>
      </c>
      <c r="E99" s="2" t="s">
        <v>624</v>
      </c>
      <c r="F99" s="2"/>
      <c r="G99" s="2" t="s">
        <v>864</v>
      </c>
      <c r="H99" s="2"/>
      <c r="I99" s="2" t="s">
        <v>896</v>
      </c>
      <c r="J99" s="2" t="s">
        <v>634</v>
      </c>
      <c r="K99" s="2" t="s">
        <v>635</v>
      </c>
      <c r="L99" s="2"/>
      <c r="M99" s="2"/>
      <c r="N99" s="2"/>
      <c r="O99" s="2"/>
      <c r="P99" s="2"/>
    </row>
    <row r="100" spans="1:16" ht="27.6">
      <c r="A100" s="2" t="s">
        <v>897</v>
      </c>
      <c r="B100" s="2" t="s">
        <v>255</v>
      </c>
      <c r="C100" s="2" t="s">
        <v>254</v>
      </c>
      <c r="D100" s="2" t="s">
        <v>624</v>
      </c>
      <c r="E100" s="2"/>
      <c r="F100" s="2"/>
      <c r="G100" s="2" t="s">
        <v>864</v>
      </c>
      <c r="H100" s="2"/>
      <c r="I100" s="2"/>
      <c r="J100" s="2" t="s">
        <v>634</v>
      </c>
      <c r="K100" s="2" t="s">
        <v>635</v>
      </c>
      <c r="L100" s="2"/>
      <c r="M100" s="2"/>
      <c r="N100" s="2"/>
      <c r="O100" s="2"/>
      <c r="P100" s="2"/>
    </row>
    <row r="101" spans="1:16" ht="27.6">
      <c r="A101" s="2" t="s">
        <v>898</v>
      </c>
      <c r="B101" s="2" t="s">
        <v>257</v>
      </c>
      <c r="C101" s="2" t="s">
        <v>256</v>
      </c>
      <c r="D101" s="2" t="s">
        <v>624</v>
      </c>
      <c r="E101" s="2" t="s">
        <v>624</v>
      </c>
      <c r="F101" s="2"/>
      <c r="G101" s="2" t="s">
        <v>861</v>
      </c>
      <c r="H101" s="2"/>
      <c r="I101" s="2" t="s">
        <v>899</v>
      </c>
      <c r="J101" s="2" t="s">
        <v>627</v>
      </c>
      <c r="K101" s="2" t="s">
        <v>830</v>
      </c>
      <c r="L101" s="2"/>
      <c r="M101" s="2"/>
      <c r="N101" s="2"/>
      <c r="O101" s="2"/>
      <c r="P101" s="2"/>
    </row>
    <row r="102" spans="1:16" ht="27.6">
      <c r="A102" s="2" t="s">
        <v>900</v>
      </c>
      <c r="B102" s="2" t="s">
        <v>259</v>
      </c>
      <c r="C102" s="2" t="s">
        <v>258</v>
      </c>
      <c r="D102" s="2" t="s">
        <v>624</v>
      </c>
      <c r="E102" s="2" t="s">
        <v>624</v>
      </c>
      <c r="F102" s="2"/>
      <c r="G102" s="2" t="s">
        <v>864</v>
      </c>
      <c r="H102" s="2"/>
      <c r="I102" s="2" t="s">
        <v>901</v>
      </c>
      <c r="J102" s="2" t="s">
        <v>627</v>
      </c>
      <c r="K102" s="2" t="s">
        <v>830</v>
      </c>
      <c r="L102" s="2"/>
      <c r="M102" s="2"/>
      <c r="N102" s="2"/>
      <c r="O102" s="2"/>
      <c r="P102" s="2"/>
    </row>
    <row r="103" spans="1:16">
      <c r="A103" s="2" t="s">
        <v>902</v>
      </c>
      <c r="B103" s="2" t="s">
        <v>261</v>
      </c>
      <c r="C103" s="2" t="s">
        <v>260</v>
      </c>
      <c r="D103" s="2" t="s">
        <v>624</v>
      </c>
      <c r="E103" s="2" t="s">
        <v>624</v>
      </c>
      <c r="F103" s="2"/>
      <c r="G103" s="2" t="s">
        <v>903</v>
      </c>
      <c r="H103" s="2"/>
      <c r="I103" s="2" t="s">
        <v>904</v>
      </c>
      <c r="J103" s="2" t="s">
        <v>627</v>
      </c>
      <c r="K103" s="2" t="s">
        <v>905</v>
      </c>
      <c r="L103" s="2"/>
      <c r="M103" s="2"/>
      <c r="N103" s="2"/>
      <c r="O103" s="2"/>
      <c r="P103" s="2"/>
    </row>
    <row r="104" spans="1:16" ht="27.6">
      <c r="A104" s="2" t="s">
        <v>906</v>
      </c>
      <c r="B104" s="2" t="s">
        <v>263</v>
      </c>
      <c r="C104" s="2" t="s">
        <v>262</v>
      </c>
      <c r="D104" s="2" t="s">
        <v>624</v>
      </c>
      <c r="E104" s="2" t="s">
        <v>624</v>
      </c>
      <c r="F104" s="2"/>
      <c r="G104" s="2" t="s">
        <v>871</v>
      </c>
      <c r="H104" s="2"/>
      <c r="I104" s="2" t="s">
        <v>907</v>
      </c>
      <c r="J104" s="2" t="s">
        <v>634</v>
      </c>
      <c r="K104" s="2" t="s">
        <v>635</v>
      </c>
      <c r="L104" s="2"/>
      <c r="M104" s="2"/>
      <c r="N104" s="2"/>
      <c r="O104" s="2"/>
      <c r="P104" s="2"/>
    </row>
    <row r="105" spans="1:16" ht="27.6">
      <c r="A105" s="2" t="s">
        <v>908</v>
      </c>
      <c r="B105" s="2" t="s">
        <v>265</v>
      </c>
      <c r="C105" s="2" t="s">
        <v>264</v>
      </c>
      <c r="D105" s="2" t="s">
        <v>624</v>
      </c>
      <c r="E105" s="2" t="s">
        <v>624</v>
      </c>
      <c r="F105" s="2"/>
      <c r="G105" s="2" t="s">
        <v>864</v>
      </c>
      <c r="H105" s="2" t="s">
        <v>909</v>
      </c>
      <c r="I105" s="2" t="s">
        <v>910</v>
      </c>
      <c r="J105" s="2" t="s">
        <v>627</v>
      </c>
      <c r="K105" s="2" t="s">
        <v>905</v>
      </c>
      <c r="L105" s="2"/>
      <c r="M105" s="2"/>
      <c r="N105" s="2"/>
      <c r="O105" s="2"/>
      <c r="P105" s="2"/>
    </row>
    <row r="106" spans="1:16" ht="27.6">
      <c r="A106" s="2" t="s">
        <v>911</v>
      </c>
      <c r="B106" s="2" t="s">
        <v>268</v>
      </c>
      <c r="C106" s="2" t="s">
        <v>267</v>
      </c>
      <c r="D106" s="2" t="s">
        <v>624</v>
      </c>
      <c r="E106" s="2" t="s">
        <v>624</v>
      </c>
      <c r="F106" s="2"/>
      <c r="G106" s="2" t="s">
        <v>864</v>
      </c>
      <c r="H106" s="2"/>
      <c r="I106" s="2" t="s">
        <v>912</v>
      </c>
      <c r="J106" s="2" t="s">
        <v>627</v>
      </c>
      <c r="K106" s="2" t="s">
        <v>905</v>
      </c>
      <c r="L106" s="2"/>
      <c r="M106" s="2"/>
      <c r="N106" s="2"/>
      <c r="O106" s="2"/>
      <c r="P106" s="2"/>
    </row>
    <row r="107" spans="1:16" ht="27.6">
      <c r="A107" s="2" t="s">
        <v>913</v>
      </c>
      <c r="B107" s="2" t="s">
        <v>270</v>
      </c>
      <c r="C107" s="2" t="s">
        <v>269</v>
      </c>
      <c r="D107" s="2" t="s">
        <v>624</v>
      </c>
      <c r="E107" s="2" t="s">
        <v>624</v>
      </c>
      <c r="F107" s="2"/>
      <c r="G107" s="2" t="s">
        <v>914</v>
      </c>
      <c r="H107" s="2"/>
      <c r="I107" s="2" t="s">
        <v>915</v>
      </c>
      <c r="J107" s="2" t="s">
        <v>634</v>
      </c>
      <c r="K107" s="2" t="s">
        <v>635</v>
      </c>
      <c r="L107" s="2"/>
      <c r="M107" s="2"/>
      <c r="N107" s="2"/>
      <c r="O107" s="2"/>
      <c r="P107" s="2"/>
    </row>
    <row r="108" spans="1:16" ht="27.6">
      <c r="A108" s="2" t="s">
        <v>916</v>
      </c>
      <c r="B108" s="2" t="s">
        <v>272</v>
      </c>
      <c r="C108" s="2" t="s">
        <v>271</v>
      </c>
      <c r="D108" s="2" t="s">
        <v>624</v>
      </c>
      <c r="E108" s="2" t="s">
        <v>624</v>
      </c>
      <c r="F108" s="2"/>
      <c r="G108" s="2" t="s">
        <v>914</v>
      </c>
      <c r="H108" s="2"/>
      <c r="I108" s="2" t="s">
        <v>917</v>
      </c>
      <c r="J108" s="2" t="s">
        <v>627</v>
      </c>
      <c r="K108" s="2" t="s">
        <v>905</v>
      </c>
      <c r="L108" s="2"/>
      <c r="M108" s="2"/>
      <c r="N108" s="2"/>
      <c r="O108" s="2"/>
      <c r="P108" s="2"/>
    </row>
    <row r="109" spans="1:16" ht="27.6">
      <c r="A109" s="2" t="s">
        <v>918</v>
      </c>
      <c r="B109" s="2" t="s">
        <v>274</v>
      </c>
      <c r="C109" s="2" t="s">
        <v>273</v>
      </c>
      <c r="D109" s="2" t="s">
        <v>624</v>
      </c>
      <c r="E109" s="2" t="s">
        <v>624</v>
      </c>
      <c r="F109" s="2"/>
      <c r="G109" s="2" t="s">
        <v>861</v>
      </c>
      <c r="H109" s="2"/>
      <c r="I109" s="2" t="s">
        <v>919</v>
      </c>
      <c r="J109" s="2" t="s">
        <v>634</v>
      </c>
      <c r="K109" s="2" t="s">
        <v>635</v>
      </c>
      <c r="L109" s="2"/>
      <c r="M109" s="2"/>
      <c r="N109" s="2"/>
      <c r="O109" s="2"/>
      <c r="P109" s="2"/>
    </row>
    <row r="110" spans="1:16" ht="27.6">
      <c r="A110" s="2" t="s">
        <v>920</v>
      </c>
      <c r="B110" s="2" t="s">
        <v>276</v>
      </c>
      <c r="C110" s="2" t="s">
        <v>275</v>
      </c>
      <c r="D110" s="2" t="s">
        <v>624</v>
      </c>
      <c r="E110" s="2" t="s">
        <v>624</v>
      </c>
      <c r="F110" s="2"/>
      <c r="G110" s="2" t="s">
        <v>861</v>
      </c>
      <c r="H110" s="2" t="s">
        <v>921</v>
      </c>
      <c r="I110" s="2" t="s">
        <v>922</v>
      </c>
      <c r="J110" s="2" t="s">
        <v>646</v>
      </c>
      <c r="K110" s="2" t="s">
        <v>905</v>
      </c>
      <c r="L110" s="2"/>
      <c r="M110" s="2"/>
      <c r="N110" s="2"/>
      <c r="O110" s="2"/>
      <c r="P110" s="2"/>
    </row>
    <row r="111" spans="1:16" ht="27.6">
      <c r="A111" s="2" t="s">
        <v>923</v>
      </c>
      <c r="B111" s="2" t="s">
        <v>278</v>
      </c>
      <c r="C111" s="2" t="s">
        <v>277</v>
      </c>
      <c r="D111" s="2" t="s">
        <v>624</v>
      </c>
      <c r="E111" s="2" t="s">
        <v>624</v>
      </c>
      <c r="F111" s="2"/>
      <c r="G111" s="2" t="s">
        <v>924</v>
      </c>
      <c r="H111" s="2"/>
      <c r="I111" s="2" t="s">
        <v>925</v>
      </c>
      <c r="J111" s="2" t="s">
        <v>627</v>
      </c>
      <c r="K111" s="2" t="s">
        <v>905</v>
      </c>
      <c r="L111" s="2"/>
      <c r="M111" s="2"/>
      <c r="N111" s="2"/>
      <c r="O111" s="2"/>
      <c r="P111" s="2"/>
    </row>
    <row r="112" spans="1:16" ht="27.6">
      <c r="A112" s="2" t="s">
        <v>926</v>
      </c>
      <c r="B112" s="2" t="s">
        <v>280</v>
      </c>
      <c r="C112" s="2" t="s">
        <v>279</v>
      </c>
      <c r="D112" s="2" t="s">
        <v>624</v>
      </c>
      <c r="E112" s="2" t="s">
        <v>624</v>
      </c>
      <c r="F112" s="2"/>
      <c r="G112" s="2" t="s">
        <v>924</v>
      </c>
      <c r="H112" s="2"/>
      <c r="I112" s="2" t="s">
        <v>927</v>
      </c>
      <c r="J112" s="2" t="s">
        <v>627</v>
      </c>
      <c r="K112" s="2" t="s">
        <v>905</v>
      </c>
      <c r="L112" s="2"/>
      <c r="M112" s="2"/>
      <c r="N112" s="2"/>
      <c r="O112" s="2"/>
      <c r="P112" s="2"/>
    </row>
    <row r="113" spans="1:16">
      <c r="A113" s="2" t="s">
        <v>928</v>
      </c>
      <c r="B113" s="2" t="s">
        <v>282</v>
      </c>
      <c r="C113" s="2" t="s">
        <v>281</v>
      </c>
      <c r="D113" s="2" t="s">
        <v>624</v>
      </c>
      <c r="E113" s="2" t="s">
        <v>624</v>
      </c>
      <c r="F113" s="2"/>
      <c r="G113" s="2" t="s">
        <v>924</v>
      </c>
      <c r="H113" s="2"/>
      <c r="I113" s="2" t="s">
        <v>929</v>
      </c>
      <c r="J113" s="2" t="s">
        <v>627</v>
      </c>
      <c r="K113" s="2" t="s">
        <v>905</v>
      </c>
      <c r="L113" s="2"/>
      <c r="M113" s="2"/>
      <c r="N113" s="2"/>
      <c r="O113" s="2"/>
      <c r="P113" s="2"/>
    </row>
    <row r="114" spans="1:16">
      <c r="A114" s="2" t="s">
        <v>930</v>
      </c>
      <c r="B114" s="2" t="s">
        <v>284</v>
      </c>
      <c r="C114" s="2" t="s">
        <v>283</v>
      </c>
      <c r="D114" s="2" t="s">
        <v>624</v>
      </c>
      <c r="E114" s="2" t="s">
        <v>624</v>
      </c>
      <c r="F114" s="2"/>
      <c r="G114" s="2" t="s">
        <v>924</v>
      </c>
      <c r="H114" s="2"/>
      <c r="I114" s="2" t="s">
        <v>931</v>
      </c>
      <c r="J114" s="2" t="s">
        <v>627</v>
      </c>
      <c r="K114" s="2" t="s">
        <v>905</v>
      </c>
      <c r="L114" s="2"/>
      <c r="M114" s="2"/>
      <c r="N114" s="2"/>
      <c r="O114" s="2"/>
      <c r="P114" s="2"/>
    </row>
    <row r="115" spans="1:16" ht="27.6">
      <c r="A115" s="2" t="s">
        <v>932</v>
      </c>
      <c r="B115" s="2" t="s">
        <v>286</v>
      </c>
      <c r="C115" s="2" t="s">
        <v>285</v>
      </c>
      <c r="D115" s="2" t="s">
        <v>624</v>
      </c>
      <c r="E115" s="2" t="s">
        <v>624</v>
      </c>
      <c r="F115" s="2"/>
      <c r="G115" s="2" t="s">
        <v>631</v>
      </c>
      <c r="H115" s="2"/>
      <c r="I115" s="2" t="s">
        <v>933</v>
      </c>
      <c r="J115" s="2" t="s">
        <v>634</v>
      </c>
      <c r="K115" s="2" t="s">
        <v>635</v>
      </c>
      <c r="L115" s="2"/>
      <c r="M115" s="2"/>
      <c r="N115" s="2"/>
      <c r="O115" s="2"/>
      <c r="P115" s="2"/>
    </row>
    <row r="116" spans="1:16">
      <c r="A116" s="2" t="s">
        <v>934</v>
      </c>
      <c r="B116" s="2" t="s">
        <v>288</v>
      </c>
      <c r="C116" s="2" t="s">
        <v>287</v>
      </c>
      <c r="D116" s="2" t="s">
        <v>624</v>
      </c>
      <c r="E116" s="2" t="s">
        <v>624</v>
      </c>
      <c r="F116" s="2"/>
      <c r="G116" s="2" t="s">
        <v>935</v>
      </c>
      <c r="H116" s="2"/>
      <c r="I116" s="2" t="s">
        <v>936</v>
      </c>
      <c r="J116" s="2" t="s">
        <v>627</v>
      </c>
      <c r="K116" s="2" t="s">
        <v>905</v>
      </c>
      <c r="L116" s="2"/>
      <c r="M116" s="2"/>
      <c r="N116" s="2"/>
      <c r="O116" s="2"/>
      <c r="P116" s="2"/>
    </row>
    <row r="117" spans="1:16">
      <c r="A117" s="2" t="s">
        <v>937</v>
      </c>
      <c r="B117" s="2" t="s">
        <v>291</v>
      </c>
      <c r="C117" s="2" t="s">
        <v>290</v>
      </c>
      <c r="D117" s="2" t="s">
        <v>624</v>
      </c>
      <c r="E117" s="2" t="s">
        <v>624</v>
      </c>
      <c r="F117" s="2"/>
      <c r="G117" s="2" t="s">
        <v>938</v>
      </c>
      <c r="H117" s="2"/>
      <c r="I117" s="2" t="s">
        <v>939</v>
      </c>
      <c r="J117" s="2" t="s">
        <v>636</v>
      </c>
      <c r="K117" s="2" t="s">
        <v>905</v>
      </c>
      <c r="L117" s="2"/>
      <c r="M117" s="2"/>
      <c r="N117" s="2"/>
      <c r="O117" s="2"/>
      <c r="P117" s="2"/>
    </row>
    <row r="118" spans="1:16" ht="27.6">
      <c r="A118" s="2" t="s">
        <v>940</v>
      </c>
      <c r="B118" s="2" t="s">
        <v>294</v>
      </c>
      <c r="C118" s="2" t="s">
        <v>293</v>
      </c>
      <c r="D118" s="2" t="s">
        <v>624</v>
      </c>
      <c r="E118" s="2" t="s">
        <v>624</v>
      </c>
      <c r="F118" s="2"/>
      <c r="G118" s="2" t="s">
        <v>632</v>
      </c>
      <c r="H118" s="2"/>
      <c r="I118" s="2" t="s">
        <v>941</v>
      </c>
      <c r="J118" s="2" t="s">
        <v>634</v>
      </c>
      <c r="K118" s="2" t="s">
        <v>635</v>
      </c>
      <c r="L118" s="2"/>
      <c r="M118" s="2"/>
      <c r="N118" s="2"/>
      <c r="O118" s="2"/>
      <c r="P118" s="2"/>
    </row>
    <row r="119" spans="1:16" ht="27.6">
      <c r="A119" s="2" t="s">
        <v>942</v>
      </c>
      <c r="B119" s="2" t="s">
        <v>296</v>
      </c>
      <c r="C119" s="2" t="s">
        <v>295</v>
      </c>
      <c r="D119" s="2" t="s">
        <v>624</v>
      </c>
      <c r="E119" s="2" t="s">
        <v>624</v>
      </c>
      <c r="F119" s="2"/>
      <c r="G119" s="2" t="s">
        <v>631</v>
      </c>
      <c r="H119" s="2" t="s">
        <v>943</v>
      </c>
      <c r="I119" s="2" t="s">
        <v>944</v>
      </c>
      <c r="J119" s="2" t="s">
        <v>636</v>
      </c>
      <c r="K119" s="2" t="s">
        <v>905</v>
      </c>
      <c r="L119" s="2"/>
      <c r="M119" s="2"/>
      <c r="N119" s="2"/>
      <c r="O119" s="2"/>
      <c r="P119" s="2"/>
    </row>
    <row r="120" spans="1:16" ht="27.6">
      <c r="A120" s="2" t="s">
        <v>945</v>
      </c>
      <c r="B120" s="2" t="s">
        <v>300</v>
      </c>
      <c r="C120" s="2" t="s">
        <v>299</v>
      </c>
      <c r="D120" s="2" t="s">
        <v>624</v>
      </c>
      <c r="E120" s="2" t="s">
        <v>624</v>
      </c>
      <c r="F120" s="2"/>
      <c r="G120" s="2" t="s">
        <v>946</v>
      </c>
      <c r="H120" s="2"/>
      <c r="I120" s="2" t="s">
        <v>947</v>
      </c>
      <c r="J120" s="2" t="s">
        <v>634</v>
      </c>
      <c r="K120" s="2" t="s">
        <v>635</v>
      </c>
      <c r="L120" s="2"/>
      <c r="M120" s="2"/>
      <c r="N120" s="2"/>
      <c r="O120" s="2"/>
      <c r="P120" s="2"/>
    </row>
    <row r="121" spans="1:16">
      <c r="A121" s="2" t="s">
        <v>948</v>
      </c>
      <c r="B121" s="2" t="s">
        <v>303</v>
      </c>
      <c r="C121" s="2" t="s">
        <v>302</v>
      </c>
      <c r="D121" s="2" t="s">
        <v>624</v>
      </c>
      <c r="E121" s="2" t="s">
        <v>624</v>
      </c>
      <c r="F121" s="2"/>
      <c r="G121" s="2" t="s">
        <v>946</v>
      </c>
      <c r="H121" s="2"/>
      <c r="I121" s="2" t="s">
        <v>949</v>
      </c>
      <c r="J121" s="2" t="s">
        <v>627</v>
      </c>
      <c r="K121" s="2" t="s">
        <v>905</v>
      </c>
      <c r="L121" s="2"/>
      <c r="M121" s="2"/>
      <c r="N121" s="2"/>
      <c r="O121" s="2"/>
      <c r="P121" s="2"/>
    </row>
    <row r="122" spans="1:16">
      <c r="A122" s="2" t="s">
        <v>950</v>
      </c>
      <c r="B122" s="2" t="s">
        <v>305</v>
      </c>
      <c r="C122" s="2" t="s">
        <v>304</v>
      </c>
      <c r="D122" s="2" t="s">
        <v>624</v>
      </c>
      <c r="E122" s="2" t="s">
        <v>624</v>
      </c>
      <c r="F122" s="2"/>
      <c r="G122" s="2" t="s">
        <v>951</v>
      </c>
      <c r="H122" s="2"/>
      <c r="I122" s="2" t="s">
        <v>952</v>
      </c>
      <c r="J122" s="2" t="s">
        <v>627</v>
      </c>
      <c r="K122" s="2" t="s">
        <v>905</v>
      </c>
      <c r="L122" s="2"/>
      <c r="M122" s="2"/>
      <c r="N122" s="2"/>
      <c r="O122" s="2"/>
      <c r="P122" s="2"/>
    </row>
    <row r="123" spans="1:16">
      <c r="A123" s="2" t="s">
        <v>953</v>
      </c>
      <c r="B123" s="2" t="s">
        <v>307</v>
      </c>
      <c r="C123" s="2" t="s">
        <v>306</v>
      </c>
      <c r="D123" s="2" t="s">
        <v>624</v>
      </c>
      <c r="E123" s="2" t="s">
        <v>624</v>
      </c>
      <c r="F123" s="2"/>
      <c r="G123" s="2" t="s">
        <v>951</v>
      </c>
      <c r="H123" s="2"/>
      <c r="I123" s="2" t="s">
        <v>954</v>
      </c>
      <c r="J123" s="2" t="s">
        <v>627</v>
      </c>
      <c r="K123" s="2" t="s">
        <v>905</v>
      </c>
      <c r="L123" s="2"/>
      <c r="M123" s="2"/>
      <c r="N123" s="2"/>
      <c r="O123" s="2"/>
      <c r="P123" s="2"/>
    </row>
    <row r="124" spans="1:16" ht="27.6">
      <c r="A124" s="2" t="s">
        <v>955</v>
      </c>
      <c r="B124" s="2" t="s">
        <v>309</v>
      </c>
      <c r="C124" s="2" t="s">
        <v>308</v>
      </c>
      <c r="D124" s="2" t="s">
        <v>624</v>
      </c>
      <c r="E124" s="2" t="s">
        <v>624</v>
      </c>
      <c r="F124" s="2"/>
      <c r="G124" s="2" t="s">
        <v>632</v>
      </c>
      <c r="H124" s="2"/>
      <c r="I124" s="2" t="s">
        <v>956</v>
      </c>
      <c r="J124" s="2" t="s">
        <v>627</v>
      </c>
      <c r="K124" s="2" t="s">
        <v>905</v>
      </c>
      <c r="L124" s="2" t="s">
        <v>957</v>
      </c>
      <c r="M124" s="2" t="s">
        <v>958</v>
      </c>
      <c r="N124" s="2" t="s">
        <v>631</v>
      </c>
      <c r="O124" s="2" t="s">
        <v>634</v>
      </c>
      <c r="P124" s="2"/>
    </row>
    <row r="125" spans="1:16" ht="27.6">
      <c r="A125" s="2" t="s">
        <v>959</v>
      </c>
      <c r="B125" s="2" t="s">
        <v>311</v>
      </c>
      <c r="C125" s="2" t="s">
        <v>310</v>
      </c>
      <c r="D125" s="2" t="s">
        <v>624</v>
      </c>
      <c r="E125" s="2"/>
      <c r="F125" s="2"/>
      <c r="G125" s="2" t="s">
        <v>631</v>
      </c>
      <c r="H125" s="2"/>
      <c r="I125" s="2" t="s">
        <v>960</v>
      </c>
      <c r="J125" s="2" t="s">
        <v>634</v>
      </c>
      <c r="K125" s="2" t="s">
        <v>635</v>
      </c>
      <c r="L125" s="2"/>
      <c r="M125" s="2"/>
      <c r="N125" s="2"/>
      <c r="O125" s="2"/>
      <c r="P125" s="2"/>
    </row>
    <row r="126" spans="1:16">
      <c r="A126" s="2" t="s">
        <v>961</v>
      </c>
      <c r="B126" s="2" t="s">
        <v>314</v>
      </c>
      <c r="C126" s="2" t="s">
        <v>313</v>
      </c>
      <c r="D126" s="2" t="s">
        <v>624</v>
      </c>
      <c r="E126" s="2" t="s">
        <v>624</v>
      </c>
      <c r="F126" s="2"/>
      <c r="G126" s="2" t="s">
        <v>631</v>
      </c>
      <c r="H126" s="2"/>
      <c r="I126" s="2" t="s">
        <v>962</v>
      </c>
      <c r="J126" s="2" t="s">
        <v>627</v>
      </c>
      <c r="K126" s="2" t="s">
        <v>905</v>
      </c>
      <c r="L126" s="2"/>
      <c r="M126" s="2"/>
      <c r="N126" s="2"/>
      <c r="O126" s="2"/>
      <c r="P126" s="2"/>
    </row>
    <row r="127" spans="1:16">
      <c r="A127" s="2" t="s">
        <v>963</v>
      </c>
      <c r="B127" s="2" t="s">
        <v>316</v>
      </c>
      <c r="C127" s="2" t="s">
        <v>315</v>
      </c>
      <c r="D127" s="2" t="s">
        <v>624</v>
      </c>
      <c r="E127" s="2" t="s">
        <v>624</v>
      </c>
      <c r="F127" s="2"/>
      <c r="G127" s="2" t="s">
        <v>631</v>
      </c>
      <c r="H127" s="2"/>
      <c r="I127" s="2" t="s">
        <v>964</v>
      </c>
      <c r="J127" s="2" t="s">
        <v>627</v>
      </c>
      <c r="K127" s="2" t="s">
        <v>905</v>
      </c>
      <c r="L127" s="2"/>
      <c r="M127" s="2"/>
      <c r="N127" s="2"/>
      <c r="O127" s="2"/>
      <c r="P127" s="2"/>
    </row>
    <row r="128" spans="1:16" ht="69">
      <c r="A128" s="2" t="s">
        <v>965</v>
      </c>
      <c r="B128" s="2" t="s">
        <v>318</v>
      </c>
      <c r="C128" s="2" t="s">
        <v>317</v>
      </c>
      <c r="D128" s="2" t="s">
        <v>624</v>
      </c>
      <c r="E128" s="2" t="s">
        <v>624</v>
      </c>
      <c r="F128" s="2"/>
      <c r="G128" s="2" t="s">
        <v>631</v>
      </c>
      <c r="H128" s="2"/>
      <c r="I128" s="2" t="s">
        <v>966</v>
      </c>
      <c r="J128" s="2" t="s">
        <v>627</v>
      </c>
      <c r="K128" s="2" t="s">
        <v>905</v>
      </c>
      <c r="L128" s="2" t="s">
        <v>967</v>
      </c>
      <c r="M128" s="2" t="s">
        <v>968</v>
      </c>
      <c r="N128" s="2" t="s">
        <v>685</v>
      </c>
      <c r="O128" s="2" t="s">
        <v>320</v>
      </c>
      <c r="P128" s="2"/>
    </row>
    <row r="129" spans="1:16" ht="69">
      <c r="A129" s="2" t="s">
        <v>969</v>
      </c>
      <c r="B129" s="2" t="s">
        <v>322</v>
      </c>
      <c r="C129" s="2" t="s">
        <v>321</v>
      </c>
      <c r="D129" s="2" t="s">
        <v>624</v>
      </c>
      <c r="E129" s="2" t="s">
        <v>624</v>
      </c>
      <c r="F129" s="2"/>
      <c r="G129" s="2" t="s">
        <v>631</v>
      </c>
      <c r="H129" s="2"/>
      <c r="I129" s="2" t="s">
        <v>970</v>
      </c>
      <c r="J129" s="2" t="s">
        <v>634</v>
      </c>
      <c r="K129" s="2" t="s">
        <v>635</v>
      </c>
      <c r="L129" s="2" t="s">
        <v>967</v>
      </c>
      <c r="M129" s="2" t="s">
        <v>968</v>
      </c>
      <c r="N129" s="2" t="s">
        <v>685</v>
      </c>
      <c r="O129" s="2" t="s">
        <v>320</v>
      </c>
      <c r="P129" s="2"/>
    </row>
    <row r="130" spans="1:16">
      <c r="A130" s="2" t="s">
        <v>971</v>
      </c>
      <c r="B130" s="2" t="s">
        <v>324</v>
      </c>
      <c r="C130" s="2" t="s">
        <v>323</v>
      </c>
      <c r="D130" s="2" t="s">
        <v>624</v>
      </c>
      <c r="E130" s="2" t="s">
        <v>624</v>
      </c>
      <c r="F130" s="2"/>
      <c r="G130" s="2" t="s">
        <v>972</v>
      </c>
      <c r="H130" s="2"/>
      <c r="I130" s="2" t="s">
        <v>973</v>
      </c>
      <c r="J130" s="2" t="s">
        <v>627</v>
      </c>
      <c r="K130" s="2" t="s">
        <v>905</v>
      </c>
      <c r="L130" s="2"/>
      <c r="M130" s="2"/>
      <c r="N130" s="2"/>
      <c r="O130" s="2"/>
      <c r="P130" s="2"/>
    </row>
    <row r="131" spans="1:16">
      <c r="A131" s="2" t="s">
        <v>974</v>
      </c>
      <c r="B131" s="2" t="s">
        <v>327</v>
      </c>
      <c r="C131" s="2" t="s">
        <v>326</v>
      </c>
      <c r="D131" s="2" t="s">
        <v>624</v>
      </c>
      <c r="E131" s="2" t="s">
        <v>624</v>
      </c>
      <c r="F131" s="2"/>
      <c r="G131" s="2" t="s">
        <v>972</v>
      </c>
      <c r="H131" s="2"/>
      <c r="I131" s="2" t="s">
        <v>975</v>
      </c>
      <c r="J131" s="2" t="s">
        <v>627</v>
      </c>
      <c r="K131" s="2" t="s">
        <v>976</v>
      </c>
      <c r="L131" s="2"/>
      <c r="M131" s="2"/>
      <c r="N131" s="2"/>
      <c r="O131" s="2"/>
      <c r="P131" s="2"/>
    </row>
    <row r="132" spans="1:16">
      <c r="A132" s="2" t="s">
        <v>977</v>
      </c>
      <c r="B132" s="2" t="s">
        <v>329</v>
      </c>
      <c r="C132" s="2" t="s">
        <v>328</v>
      </c>
      <c r="D132" s="2" t="s">
        <v>624</v>
      </c>
      <c r="E132" s="2" t="s">
        <v>624</v>
      </c>
      <c r="F132" s="2"/>
      <c r="G132" s="2" t="s">
        <v>978</v>
      </c>
      <c r="H132" s="2"/>
      <c r="I132" s="2" t="s">
        <v>979</v>
      </c>
      <c r="J132" s="2" t="s">
        <v>627</v>
      </c>
      <c r="K132" s="2" t="s">
        <v>976</v>
      </c>
      <c r="L132" s="2"/>
      <c r="M132" s="2"/>
      <c r="N132" s="2"/>
      <c r="O132" s="2"/>
      <c r="P132" s="2"/>
    </row>
    <row r="133" spans="1:16" ht="27.6">
      <c r="A133" s="2" t="s">
        <v>980</v>
      </c>
      <c r="B133" s="2" t="s">
        <v>332</v>
      </c>
      <c r="C133" s="2" t="s">
        <v>331</v>
      </c>
      <c r="D133" s="2" t="s">
        <v>624</v>
      </c>
      <c r="E133" s="2" t="s">
        <v>624</v>
      </c>
      <c r="F133" s="2"/>
      <c r="G133" s="2" t="s">
        <v>632</v>
      </c>
      <c r="H133" s="2" t="s">
        <v>657</v>
      </c>
      <c r="I133" s="2" t="s">
        <v>981</v>
      </c>
      <c r="J133" s="2" t="s">
        <v>634</v>
      </c>
      <c r="K133" s="2" t="s">
        <v>635</v>
      </c>
      <c r="L133" s="2"/>
      <c r="M133" s="2"/>
      <c r="N133" s="2"/>
      <c r="O133" s="2"/>
      <c r="P133" s="2"/>
    </row>
    <row r="134" spans="1:16">
      <c r="A134" s="2" t="s">
        <v>982</v>
      </c>
      <c r="B134" s="2" t="s">
        <v>334</v>
      </c>
      <c r="C134" s="2" t="s">
        <v>333</v>
      </c>
      <c r="D134" s="2" t="s">
        <v>624</v>
      </c>
      <c r="E134" s="2" t="s">
        <v>624</v>
      </c>
      <c r="F134" s="2"/>
      <c r="G134" s="2" t="s">
        <v>685</v>
      </c>
      <c r="H134" s="2"/>
      <c r="I134" s="2" t="s">
        <v>983</v>
      </c>
      <c r="J134" s="2" t="s">
        <v>636</v>
      </c>
      <c r="K134" s="2" t="s">
        <v>976</v>
      </c>
      <c r="L134" s="2"/>
      <c r="M134" s="2"/>
      <c r="N134" s="2"/>
      <c r="O134" s="2"/>
      <c r="P134" s="2"/>
    </row>
    <row r="135" spans="1:16" ht="27.6">
      <c r="A135" s="2" t="s">
        <v>984</v>
      </c>
      <c r="B135" s="2" t="s">
        <v>337</v>
      </c>
      <c r="C135" s="2" t="s">
        <v>336</v>
      </c>
      <c r="D135" s="2" t="s">
        <v>624</v>
      </c>
      <c r="E135" s="2" t="s">
        <v>624</v>
      </c>
      <c r="F135" s="2"/>
      <c r="G135" s="2" t="s">
        <v>985</v>
      </c>
      <c r="H135" s="2" t="s">
        <v>986</v>
      </c>
      <c r="I135" s="2" t="s">
        <v>987</v>
      </c>
      <c r="J135" s="2" t="s">
        <v>634</v>
      </c>
      <c r="K135" s="2" t="s">
        <v>635</v>
      </c>
      <c r="L135" s="2"/>
      <c r="M135" s="2"/>
      <c r="N135" s="2"/>
      <c r="O135" s="2"/>
      <c r="P135" s="2"/>
    </row>
    <row r="136" spans="1:16">
      <c r="A136" s="2" t="s">
        <v>988</v>
      </c>
      <c r="B136" s="2" t="s">
        <v>340</v>
      </c>
      <c r="C136" s="2" t="s">
        <v>339</v>
      </c>
      <c r="D136" s="2" t="s">
        <v>624</v>
      </c>
      <c r="E136" s="2" t="s">
        <v>624</v>
      </c>
      <c r="F136" s="2"/>
      <c r="G136" s="2" t="s">
        <v>871</v>
      </c>
      <c r="H136" s="2"/>
      <c r="I136" s="2" t="s">
        <v>989</v>
      </c>
      <c r="J136" s="2" t="s">
        <v>627</v>
      </c>
      <c r="K136" s="2" t="s">
        <v>976</v>
      </c>
      <c r="L136" s="2"/>
      <c r="M136" s="2"/>
      <c r="N136" s="2"/>
      <c r="O136" s="2"/>
      <c r="P136" s="2"/>
    </row>
    <row r="137" spans="1:16" ht="27.6">
      <c r="A137" s="2" t="s">
        <v>990</v>
      </c>
      <c r="B137" s="2" t="s">
        <v>343</v>
      </c>
      <c r="C137" s="2" t="s">
        <v>342</v>
      </c>
      <c r="D137" s="2" t="s">
        <v>624</v>
      </c>
      <c r="E137" s="2" t="s">
        <v>624</v>
      </c>
      <c r="F137" s="2"/>
      <c r="G137" s="2" t="s">
        <v>991</v>
      </c>
      <c r="H137" s="2" t="s">
        <v>992</v>
      </c>
      <c r="I137" s="2" t="s">
        <v>993</v>
      </c>
      <c r="J137" s="2" t="s">
        <v>638</v>
      </c>
      <c r="K137" s="2" t="s">
        <v>976</v>
      </c>
      <c r="L137" s="2"/>
      <c r="M137" s="2"/>
      <c r="N137" s="2"/>
      <c r="O137" s="2"/>
      <c r="P137" s="2"/>
    </row>
    <row r="138" spans="1:16" ht="27.6">
      <c r="A138" s="2" t="s">
        <v>994</v>
      </c>
      <c r="B138" s="2" t="s">
        <v>347</v>
      </c>
      <c r="C138" s="2" t="s">
        <v>346</v>
      </c>
      <c r="D138" s="2" t="s">
        <v>624</v>
      </c>
      <c r="E138" s="2" t="s">
        <v>624</v>
      </c>
      <c r="F138" s="2"/>
      <c r="G138" s="2" t="s">
        <v>991</v>
      </c>
      <c r="H138" s="2" t="s">
        <v>995</v>
      </c>
      <c r="I138" s="2" t="s">
        <v>996</v>
      </c>
      <c r="J138" s="2" t="s">
        <v>634</v>
      </c>
      <c r="K138" s="2" t="s">
        <v>635</v>
      </c>
      <c r="L138" s="2"/>
      <c r="M138" s="2"/>
      <c r="N138" s="2"/>
      <c r="O138" s="2"/>
      <c r="P138" s="2"/>
    </row>
    <row r="139" spans="1:16">
      <c r="A139" s="2" t="s">
        <v>997</v>
      </c>
      <c r="B139" s="2" t="s">
        <v>350</v>
      </c>
      <c r="C139" s="2" t="s">
        <v>349</v>
      </c>
      <c r="D139" s="2" t="s">
        <v>624</v>
      </c>
      <c r="E139" s="2" t="s">
        <v>624</v>
      </c>
      <c r="F139" s="2"/>
      <c r="G139" s="2" t="s">
        <v>998</v>
      </c>
      <c r="H139" s="2"/>
      <c r="I139" s="2" t="s">
        <v>999</v>
      </c>
      <c r="J139" s="2" t="s">
        <v>636</v>
      </c>
      <c r="K139" s="2" t="s">
        <v>976</v>
      </c>
      <c r="L139" s="2"/>
      <c r="M139" s="2"/>
      <c r="N139" s="2"/>
      <c r="O139" s="2"/>
      <c r="P139" s="2"/>
    </row>
    <row r="140" spans="1:16">
      <c r="A140" s="2" t="s">
        <v>1000</v>
      </c>
      <c r="B140" s="2" t="s">
        <v>352</v>
      </c>
      <c r="C140" s="2" t="s">
        <v>351</v>
      </c>
      <c r="D140" s="2" t="s">
        <v>624</v>
      </c>
      <c r="E140" s="2" t="s">
        <v>624</v>
      </c>
      <c r="F140" s="2"/>
      <c r="G140" s="2" t="s">
        <v>685</v>
      </c>
      <c r="H140" s="2"/>
      <c r="I140" s="2" t="s">
        <v>1001</v>
      </c>
      <c r="J140" s="2" t="s">
        <v>641</v>
      </c>
      <c r="K140" s="2" t="s">
        <v>976</v>
      </c>
      <c r="L140" s="2"/>
      <c r="M140" s="2"/>
      <c r="N140" s="2"/>
      <c r="O140" s="2"/>
      <c r="P140" s="2"/>
    </row>
    <row r="141" spans="1:16">
      <c r="A141" s="2" t="s">
        <v>1002</v>
      </c>
      <c r="B141" s="2" t="s">
        <v>354</v>
      </c>
      <c r="C141" s="2" t="s">
        <v>353</v>
      </c>
      <c r="D141" s="2" t="s">
        <v>624</v>
      </c>
      <c r="E141" s="2" t="s">
        <v>624</v>
      </c>
      <c r="F141" s="2"/>
      <c r="G141" s="2" t="s">
        <v>685</v>
      </c>
      <c r="H141" s="2"/>
      <c r="I141" s="2" t="s">
        <v>1003</v>
      </c>
      <c r="J141" s="2" t="s">
        <v>627</v>
      </c>
      <c r="K141" s="2" t="s">
        <v>976</v>
      </c>
      <c r="L141" s="2"/>
      <c r="M141" s="2"/>
      <c r="N141" s="2"/>
      <c r="O141" s="2"/>
      <c r="P141" s="2"/>
    </row>
    <row r="142" spans="1:16">
      <c r="A142" s="2" t="s">
        <v>1004</v>
      </c>
      <c r="B142" s="2" t="s">
        <v>356</v>
      </c>
      <c r="C142" s="2" t="s">
        <v>355</v>
      </c>
      <c r="D142" s="2" t="s">
        <v>624</v>
      </c>
      <c r="E142" s="2"/>
      <c r="F142" s="2"/>
      <c r="G142" s="2" t="s">
        <v>685</v>
      </c>
      <c r="H142" s="2" t="s">
        <v>1005</v>
      </c>
      <c r="I142" s="2" t="s">
        <v>1006</v>
      </c>
      <c r="J142" s="2" t="s">
        <v>627</v>
      </c>
      <c r="K142" s="2" t="s">
        <v>976</v>
      </c>
      <c r="L142" s="2"/>
      <c r="M142" s="2"/>
      <c r="N142" s="2"/>
      <c r="O142" s="2"/>
      <c r="P142" s="2"/>
    </row>
    <row r="143" spans="1:16">
      <c r="A143" s="2" t="s">
        <v>1007</v>
      </c>
      <c r="B143" s="2" t="s">
        <v>359</v>
      </c>
      <c r="C143" s="2" t="s">
        <v>358</v>
      </c>
      <c r="D143" s="2" t="s">
        <v>624</v>
      </c>
      <c r="E143" s="2" t="s">
        <v>624</v>
      </c>
      <c r="F143" s="2"/>
      <c r="G143" s="2" t="s">
        <v>903</v>
      </c>
      <c r="H143" s="2"/>
      <c r="I143" s="2" t="s">
        <v>1008</v>
      </c>
      <c r="J143" s="2" t="s">
        <v>627</v>
      </c>
      <c r="K143" s="2" t="s">
        <v>976</v>
      </c>
      <c r="L143" s="2"/>
      <c r="M143" s="2"/>
      <c r="N143" s="2"/>
      <c r="O143" s="2"/>
      <c r="P143" s="2"/>
    </row>
    <row r="144" spans="1:16">
      <c r="A144" s="2" t="s">
        <v>1009</v>
      </c>
      <c r="B144" s="2" t="s">
        <v>361</v>
      </c>
      <c r="C144" s="2" t="s">
        <v>360</v>
      </c>
      <c r="D144" s="2" t="s">
        <v>624</v>
      </c>
      <c r="E144" s="2" t="s">
        <v>624</v>
      </c>
      <c r="F144" s="2"/>
      <c r="G144" s="2" t="s">
        <v>903</v>
      </c>
      <c r="H144" s="2"/>
      <c r="I144" s="2" t="s">
        <v>1010</v>
      </c>
      <c r="J144" s="2" t="s">
        <v>627</v>
      </c>
      <c r="K144" s="2" t="s">
        <v>976</v>
      </c>
      <c r="L144" s="2"/>
      <c r="M144" s="2"/>
      <c r="N144" s="2"/>
      <c r="O144" s="2"/>
      <c r="P144" s="2"/>
    </row>
    <row r="145" spans="1:16">
      <c r="A145" s="2" t="s">
        <v>1011</v>
      </c>
      <c r="B145" s="2" t="s">
        <v>363</v>
      </c>
      <c r="C145" s="2" t="s">
        <v>362</v>
      </c>
      <c r="D145" s="2" t="s">
        <v>624</v>
      </c>
      <c r="E145" s="2" t="s">
        <v>624</v>
      </c>
      <c r="F145" s="2"/>
      <c r="G145" s="2" t="s">
        <v>903</v>
      </c>
      <c r="H145" s="2"/>
      <c r="I145" s="2" t="s">
        <v>1012</v>
      </c>
      <c r="J145" s="2" t="s">
        <v>627</v>
      </c>
      <c r="K145" s="2" t="s">
        <v>976</v>
      </c>
      <c r="L145" s="2"/>
      <c r="M145" s="2"/>
      <c r="N145" s="2"/>
      <c r="O145" s="2"/>
      <c r="P145" s="2"/>
    </row>
    <row r="146" spans="1:16">
      <c r="A146" s="2" t="s">
        <v>1013</v>
      </c>
      <c r="B146" s="2" t="s">
        <v>365</v>
      </c>
      <c r="C146" s="2" t="s">
        <v>364</v>
      </c>
      <c r="D146" s="2" t="s">
        <v>624</v>
      </c>
      <c r="E146" s="2" t="s">
        <v>624</v>
      </c>
      <c r="F146" s="2"/>
      <c r="G146" s="2" t="s">
        <v>903</v>
      </c>
      <c r="H146" s="2"/>
      <c r="I146" s="2" t="s">
        <v>1014</v>
      </c>
      <c r="J146" s="2" t="s">
        <v>624</v>
      </c>
      <c r="K146" s="2" t="s">
        <v>976</v>
      </c>
      <c r="L146" s="2"/>
      <c r="M146" s="2"/>
      <c r="N146" s="2"/>
      <c r="O146" s="2"/>
      <c r="P146" s="2"/>
    </row>
    <row r="147" spans="1:16">
      <c r="A147" s="2" t="s">
        <v>1015</v>
      </c>
      <c r="B147" s="2" t="s">
        <v>367</v>
      </c>
      <c r="C147" s="2" t="s">
        <v>366</v>
      </c>
      <c r="D147" s="2" t="s">
        <v>624</v>
      </c>
      <c r="E147" s="2" t="s">
        <v>624</v>
      </c>
      <c r="F147" s="2"/>
      <c r="G147" s="2" t="s">
        <v>903</v>
      </c>
      <c r="H147" s="2"/>
      <c r="I147" s="2" t="s">
        <v>1016</v>
      </c>
      <c r="J147" s="2" t="s">
        <v>624</v>
      </c>
      <c r="K147" s="2" t="s">
        <v>976</v>
      </c>
      <c r="L147" s="2"/>
      <c r="M147" s="2"/>
      <c r="N147" s="2"/>
      <c r="O147" s="2"/>
      <c r="P147" s="2"/>
    </row>
    <row r="148" spans="1:16" ht="27.6">
      <c r="A148" s="2" t="s">
        <v>1017</v>
      </c>
      <c r="B148" s="2" t="s">
        <v>369</v>
      </c>
      <c r="C148" s="2" t="s">
        <v>368</v>
      </c>
      <c r="D148" s="2" t="s">
        <v>624</v>
      </c>
      <c r="E148" s="2"/>
      <c r="F148" s="2"/>
      <c r="G148" s="2" t="s">
        <v>903</v>
      </c>
      <c r="H148" s="2"/>
      <c r="I148" s="2"/>
      <c r="J148" s="2" t="s">
        <v>634</v>
      </c>
      <c r="K148" s="2" t="s">
        <v>635</v>
      </c>
      <c r="L148" s="2"/>
      <c r="M148" s="2"/>
      <c r="N148" s="2"/>
      <c r="O148" s="2"/>
      <c r="P148" s="2"/>
    </row>
    <row r="149" spans="1:16" ht="27.6">
      <c r="A149" s="2" t="s">
        <v>1018</v>
      </c>
      <c r="B149" s="2" t="s">
        <v>371</v>
      </c>
      <c r="C149" s="2" t="s">
        <v>370</v>
      </c>
      <c r="D149" s="2" t="s">
        <v>624</v>
      </c>
      <c r="E149" s="2"/>
      <c r="F149" s="2"/>
      <c r="G149" s="2" t="s">
        <v>903</v>
      </c>
      <c r="H149" s="2"/>
      <c r="I149" s="2"/>
      <c r="J149" s="2" t="s">
        <v>634</v>
      </c>
      <c r="K149" s="2" t="s">
        <v>635</v>
      </c>
      <c r="L149" s="2"/>
      <c r="M149" s="2"/>
      <c r="N149" s="2"/>
      <c r="O149" s="2"/>
      <c r="P149" s="2"/>
    </row>
    <row r="150" spans="1:16">
      <c r="A150" s="2" t="s">
        <v>1019</v>
      </c>
      <c r="B150" s="2" t="s">
        <v>373</v>
      </c>
      <c r="C150" s="2" t="s">
        <v>372</v>
      </c>
      <c r="D150" s="2" t="s">
        <v>624</v>
      </c>
      <c r="E150" s="2" t="s">
        <v>624</v>
      </c>
      <c r="F150" s="2"/>
      <c r="G150" s="2" t="s">
        <v>998</v>
      </c>
      <c r="H150" s="2"/>
      <c r="I150" s="2" t="s">
        <v>1020</v>
      </c>
      <c r="J150" s="2" t="s">
        <v>636</v>
      </c>
      <c r="K150" s="2" t="s">
        <v>976</v>
      </c>
      <c r="L150" s="2"/>
      <c r="M150" s="2"/>
      <c r="N150" s="2"/>
      <c r="O150" s="2"/>
      <c r="P150" s="2"/>
    </row>
    <row r="151" spans="1:16" ht="55.2">
      <c r="A151" s="2" t="s">
        <v>1021</v>
      </c>
      <c r="B151" s="2" t="s">
        <v>376</v>
      </c>
      <c r="C151" s="2" t="s">
        <v>375</v>
      </c>
      <c r="D151" s="2" t="s">
        <v>624</v>
      </c>
      <c r="E151" s="2" t="s">
        <v>624</v>
      </c>
      <c r="F151" s="2"/>
      <c r="G151" s="2" t="s">
        <v>631</v>
      </c>
      <c r="H151" s="2"/>
      <c r="I151" s="2" t="s">
        <v>1022</v>
      </c>
      <c r="J151" s="2" t="s">
        <v>627</v>
      </c>
      <c r="K151" s="2" t="s">
        <v>976</v>
      </c>
      <c r="L151" s="2" t="s">
        <v>1023</v>
      </c>
      <c r="M151" s="2" t="s">
        <v>1024</v>
      </c>
      <c r="N151" s="2" t="s">
        <v>1025</v>
      </c>
      <c r="O151" s="2" t="s">
        <v>378</v>
      </c>
      <c r="P151" s="2"/>
    </row>
    <row r="152" spans="1:16" ht="27.6">
      <c r="A152" s="2" t="s">
        <v>1026</v>
      </c>
      <c r="B152" s="2" t="s">
        <v>380</v>
      </c>
      <c r="C152" s="2" t="s">
        <v>379</v>
      </c>
      <c r="D152" s="2" t="s">
        <v>624</v>
      </c>
      <c r="E152" s="2" t="s">
        <v>624</v>
      </c>
      <c r="F152" s="2"/>
      <c r="G152" s="2" t="s">
        <v>1027</v>
      </c>
      <c r="H152" s="2"/>
      <c r="I152" s="2" t="s">
        <v>1028</v>
      </c>
      <c r="J152" s="2" t="s">
        <v>634</v>
      </c>
      <c r="K152" s="2" t="s">
        <v>635</v>
      </c>
      <c r="L152" s="2"/>
      <c r="M152" s="2"/>
      <c r="N152" s="2"/>
      <c r="O152" s="2"/>
      <c r="P152" s="2"/>
    </row>
    <row r="153" spans="1:16" ht="27.6">
      <c r="A153" s="2" t="s">
        <v>1029</v>
      </c>
      <c r="B153" s="2" t="s">
        <v>383</v>
      </c>
      <c r="C153" s="2" t="s">
        <v>382</v>
      </c>
      <c r="D153" s="2" t="s">
        <v>624</v>
      </c>
      <c r="E153" s="2" t="s">
        <v>624</v>
      </c>
      <c r="F153" s="2"/>
      <c r="G153" s="2" t="s">
        <v>1027</v>
      </c>
      <c r="H153" s="2" t="s">
        <v>995</v>
      </c>
      <c r="I153" s="2" t="s">
        <v>1030</v>
      </c>
      <c r="J153" s="2" t="s">
        <v>634</v>
      </c>
      <c r="K153" s="2" t="s">
        <v>635</v>
      </c>
      <c r="L153" s="2"/>
      <c r="M153" s="2"/>
      <c r="N153" s="2"/>
      <c r="O153" s="2"/>
      <c r="P153" s="2"/>
    </row>
    <row r="154" spans="1:16" ht="41.4">
      <c r="A154" s="2" t="s">
        <v>1031</v>
      </c>
      <c r="B154" s="2" t="s">
        <v>385</v>
      </c>
      <c r="C154" s="2" t="s">
        <v>384</v>
      </c>
      <c r="D154" s="2" t="s">
        <v>624</v>
      </c>
      <c r="E154" s="2" t="s">
        <v>624</v>
      </c>
      <c r="F154" s="2"/>
      <c r="G154" s="2" t="s">
        <v>1032</v>
      </c>
      <c r="H154" s="2"/>
      <c r="I154" s="2" t="s">
        <v>1033</v>
      </c>
      <c r="J154" s="2" t="s">
        <v>627</v>
      </c>
      <c r="K154" s="2" t="s">
        <v>976</v>
      </c>
      <c r="L154" s="2" t="s">
        <v>1034</v>
      </c>
      <c r="M154" s="2" t="s">
        <v>1035</v>
      </c>
      <c r="N154" s="2"/>
      <c r="O154" s="2"/>
      <c r="P154" s="2"/>
    </row>
    <row r="155" spans="1:16" ht="41.4">
      <c r="A155" s="2" t="s">
        <v>1036</v>
      </c>
      <c r="B155" s="2" t="s">
        <v>388</v>
      </c>
      <c r="C155" s="2" t="s">
        <v>387</v>
      </c>
      <c r="D155" s="2" t="s">
        <v>624</v>
      </c>
      <c r="E155" s="2" t="s">
        <v>624</v>
      </c>
      <c r="F155" s="2"/>
      <c r="G155" s="2" t="s">
        <v>1032</v>
      </c>
      <c r="H155" s="2"/>
      <c r="I155" s="2" t="s">
        <v>1037</v>
      </c>
      <c r="J155" s="2" t="s">
        <v>627</v>
      </c>
      <c r="K155" s="2" t="s">
        <v>976</v>
      </c>
      <c r="L155" s="2" t="s">
        <v>1034</v>
      </c>
      <c r="M155" s="2" t="s">
        <v>1035</v>
      </c>
      <c r="N155" s="2"/>
      <c r="O155" s="2"/>
      <c r="P155" s="2"/>
    </row>
    <row r="156" spans="1:16" ht="27.6">
      <c r="A156" s="2" t="s">
        <v>1038</v>
      </c>
      <c r="B156" s="2" t="s">
        <v>390</v>
      </c>
      <c r="C156" s="2" t="s">
        <v>389</v>
      </c>
      <c r="D156" s="2" t="s">
        <v>624</v>
      </c>
      <c r="E156" s="2" t="s">
        <v>624</v>
      </c>
      <c r="F156" s="2"/>
      <c r="G156" s="2" t="s">
        <v>1039</v>
      </c>
      <c r="H156" s="2"/>
      <c r="I156" s="2" t="s">
        <v>1040</v>
      </c>
      <c r="J156" s="2" t="s">
        <v>634</v>
      </c>
      <c r="K156" s="2" t="s">
        <v>635</v>
      </c>
      <c r="L156" s="2"/>
      <c r="M156" s="2"/>
      <c r="N156" s="2"/>
      <c r="O156" s="2"/>
      <c r="P156" s="2"/>
    </row>
    <row r="157" spans="1:16" ht="27.6">
      <c r="A157" s="2" t="s">
        <v>1041</v>
      </c>
      <c r="B157" s="2" t="s">
        <v>393</v>
      </c>
      <c r="C157" s="2" t="s">
        <v>392</v>
      </c>
      <c r="D157" s="2" t="s">
        <v>624</v>
      </c>
      <c r="E157" s="2" t="s">
        <v>624</v>
      </c>
      <c r="F157" s="2"/>
      <c r="G157" s="2" t="s">
        <v>1039</v>
      </c>
      <c r="H157" s="2"/>
      <c r="I157" s="2" t="s">
        <v>1042</v>
      </c>
      <c r="J157" s="2" t="s">
        <v>634</v>
      </c>
      <c r="K157" s="2" t="s">
        <v>635</v>
      </c>
      <c r="L157" s="2"/>
      <c r="M157" s="2"/>
      <c r="N157" s="2"/>
      <c r="O157" s="2"/>
      <c r="P157" s="2"/>
    </row>
    <row r="158" spans="1:16" ht="27.6">
      <c r="A158" s="2" t="s">
        <v>1043</v>
      </c>
      <c r="B158" s="2" t="s">
        <v>395</v>
      </c>
      <c r="C158" s="2" t="s">
        <v>394</v>
      </c>
      <c r="D158" s="2" t="s">
        <v>624</v>
      </c>
      <c r="E158" s="2" t="s">
        <v>624</v>
      </c>
      <c r="F158" s="2"/>
      <c r="G158" s="2" t="s">
        <v>1044</v>
      </c>
      <c r="H158" s="2"/>
      <c r="I158" s="2" t="s">
        <v>1045</v>
      </c>
      <c r="J158" s="2" t="s">
        <v>627</v>
      </c>
      <c r="K158" s="2" t="s">
        <v>976</v>
      </c>
      <c r="L158" s="2"/>
      <c r="M158" s="2"/>
      <c r="N158" s="2"/>
      <c r="O158" s="2"/>
      <c r="P158" s="2"/>
    </row>
    <row r="159" spans="1:16" ht="27.6">
      <c r="A159" s="2" t="s">
        <v>1046</v>
      </c>
      <c r="B159" s="2" t="s">
        <v>397</v>
      </c>
      <c r="C159" s="2" t="s">
        <v>396</v>
      </c>
      <c r="D159" s="2" t="s">
        <v>624</v>
      </c>
      <c r="E159" s="2" t="s">
        <v>624</v>
      </c>
      <c r="F159" s="2"/>
      <c r="G159" s="2" t="s">
        <v>1047</v>
      </c>
      <c r="H159" s="2"/>
      <c r="I159" s="2" t="s">
        <v>1048</v>
      </c>
      <c r="J159" s="2" t="s">
        <v>634</v>
      </c>
      <c r="K159" s="2" t="s">
        <v>635</v>
      </c>
      <c r="L159" s="2"/>
      <c r="M159" s="2"/>
      <c r="N159" s="2"/>
      <c r="O159" s="2"/>
      <c r="P159" s="2"/>
    </row>
    <row r="160" spans="1:16" ht="27.6">
      <c r="A160" s="2" t="s">
        <v>1049</v>
      </c>
      <c r="B160" s="2" t="s">
        <v>399</v>
      </c>
      <c r="C160" s="2" t="s">
        <v>398</v>
      </c>
      <c r="D160" s="2" t="s">
        <v>624</v>
      </c>
      <c r="E160" s="2"/>
      <c r="F160" s="2"/>
      <c r="G160" s="2" t="s">
        <v>1044</v>
      </c>
      <c r="H160" s="2"/>
      <c r="I160" s="2"/>
      <c r="J160" s="2" t="s">
        <v>634</v>
      </c>
      <c r="K160" s="2" t="s">
        <v>635</v>
      </c>
      <c r="L160" s="2"/>
      <c r="M160" s="2"/>
      <c r="N160" s="2"/>
      <c r="O160" s="2"/>
      <c r="P160" s="2"/>
    </row>
    <row r="161" spans="1:16" ht="27.6">
      <c r="A161" s="2" t="s">
        <v>1050</v>
      </c>
      <c r="B161" s="2" t="s">
        <v>401</v>
      </c>
      <c r="C161" s="2" t="s">
        <v>400</v>
      </c>
      <c r="D161" s="2" t="s">
        <v>624</v>
      </c>
      <c r="E161" s="2"/>
      <c r="F161" s="2"/>
      <c r="G161" s="2" t="s">
        <v>1051</v>
      </c>
      <c r="H161" s="2"/>
      <c r="I161" s="2"/>
      <c r="J161" s="2" t="s">
        <v>634</v>
      </c>
      <c r="K161" s="2" t="s">
        <v>635</v>
      </c>
      <c r="L161" s="2"/>
      <c r="M161" s="2"/>
      <c r="N161" s="2"/>
      <c r="O161" s="2"/>
      <c r="P161" s="2"/>
    </row>
    <row r="162" spans="1:16" ht="27.6">
      <c r="A162" s="2" t="s">
        <v>1052</v>
      </c>
      <c r="B162" s="2" t="s">
        <v>403</v>
      </c>
      <c r="C162" s="2" t="s">
        <v>402</v>
      </c>
      <c r="D162" s="2" t="s">
        <v>624</v>
      </c>
      <c r="E162" s="2"/>
      <c r="F162" s="2"/>
      <c r="G162" s="2" t="s">
        <v>1051</v>
      </c>
      <c r="H162" s="2"/>
      <c r="I162" s="2"/>
      <c r="J162" s="2" t="s">
        <v>634</v>
      </c>
      <c r="K162" s="2" t="s">
        <v>635</v>
      </c>
      <c r="L162" s="2"/>
      <c r="M162" s="2"/>
      <c r="N162" s="2"/>
      <c r="O162" s="2"/>
      <c r="P162" s="2"/>
    </row>
    <row r="163" spans="1:16" ht="27.6">
      <c r="A163" s="2" t="s">
        <v>1053</v>
      </c>
      <c r="B163" s="2" t="s">
        <v>405</v>
      </c>
      <c r="C163" s="2" t="s">
        <v>404</v>
      </c>
      <c r="D163" s="2" t="s">
        <v>624</v>
      </c>
      <c r="E163" s="2"/>
      <c r="F163" s="2"/>
      <c r="G163" s="2" t="s">
        <v>1051</v>
      </c>
      <c r="H163" s="2"/>
      <c r="I163" s="2"/>
      <c r="J163" s="2" t="s">
        <v>634</v>
      </c>
      <c r="K163" s="2" t="s">
        <v>635</v>
      </c>
      <c r="L163" s="2"/>
      <c r="M163" s="2"/>
      <c r="N163" s="2"/>
      <c r="O163" s="2"/>
      <c r="P163" s="2"/>
    </row>
    <row r="164" spans="1:16" ht="27.6">
      <c r="A164" s="2" t="s">
        <v>1054</v>
      </c>
      <c r="B164" s="2" t="s">
        <v>407</v>
      </c>
      <c r="C164" s="2" t="s">
        <v>406</v>
      </c>
      <c r="D164" s="2" t="s">
        <v>624</v>
      </c>
      <c r="E164" s="2" t="s">
        <v>624</v>
      </c>
      <c r="F164" s="2"/>
      <c r="G164" s="2" t="s">
        <v>1051</v>
      </c>
      <c r="H164" s="2"/>
      <c r="I164" s="2" t="s">
        <v>1055</v>
      </c>
      <c r="J164" s="2" t="s">
        <v>644</v>
      </c>
      <c r="K164" s="2" t="s">
        <v>976</v>
      </c>
      <c r="L164" s="2"/>
      <c r="M164" s="2"/>
      <c r="N164" s="2"/>
      <c r="O164" s="2"/>
      <c r="P164" s="2"/>
    </row>
    <row r="165" spans="1:16" ht="27.6">
      <c r="A165" s="2" t="s">
        <v>1056</v>
      </c>
      <c r="B165" s="2" t="s">
        <v>409</v>
      </c>
      <c r="C165" s="2" t="s">
        <v>408</v>
      </c>
      <c r="D165" s="2" t="s">
        <v>624</v>
      </c>
      <c r="E165" s="2"/>
      <c r="F165" s="2"/>
      <c r="G165" s="2" t="s">
        <v>1051</v>
      </c>
      <c r="H165" s="2"/>
      <c r="I165" s="2"/>
      <c r="J165" s="2" t="s">
        <v>634</v>
      </c>
      <c r="K165" s="2" t="s">
        <v>635</v>
      </c>
      <c r="L165" s="2"/>
      <c r="M165" s="2"/>
      <c r="N165" s="2"/>
      <c r="O165" s="2"/>
      <c r="P165" s="2"/>
    </row>
    <row r="166" spans="1:16" ht="27.6">
      <c r="A166" s="2" t="s">
        <v>1057</v>
      </c>
      <c r="B166" s="2" t="s">
        <v>411</v>
      </c>
      <c r="C166" s="2" t="s">
        <v>410</v>
      </c>
      <c r="D166" s="2" t="s">
        <v>624</v>
      </c>
      <c r="E166" s="2" t="s">
        <v>624</v>
      </c>
      <c r="F166" s="2"/>
      <c r="G166" s="2" t="s">
        <v>1058</v>
      </c>
      <c r="H166" s="2"/>
      <c r="I166" s="2" t="s">
        <v>1059</v>
      </c>
      <c r="J166" s="2" t="s">
        <v>627</v>
      </c>
      <c r="K166" s="2" t="s">
        <v>1060</v>
      </c>
      <c r="L166" s="2"/>
      <c r="M166" s="2"/>
      <c r="N166" s="2"/>
      <c r="O166" s="2"/>
      <c r="P166" s="2"/>
    </row>
    <row r="167" spans="1:16" ht="27.6">
      <c r="A167" s="2" t="s">
        <v>1061</v>
      </c>
      <c r="B167" s="2" t="s">
        <v>413</v>
      </c>
      <c r="C167" s="2" t="s">
        <v>412</v>
      </c>
      <c r="D167" s="2" t="s">
        <v>624</v>
      </c>
      <c r="E167" s="2"/>
      <c r="F167" s="2"/>
      <c r="G167" s="2" t="s">
        <v>1062</v>
      </c>
      <c r="H167" s="2"/>
      <c r="I167" s="2"/>
      <c r="J167" s="2" t="s">
        <v>634</v>
      </c>
      <c r="K167" s="2" t="s">
        <v>635</v>
      </c>
      <c r="L167" s="2"/>
      <c r="M167" s="2"/>
      <c r="N167" s="2"/>
      <c r="O167" s="2"/>
      <c r="P167" s="2"/>
    </row>
    <row r="168" spans="1:16" ht="27.6">
      <c r="A168" s="2" t="s">
        <v>1063</v>
      </c>
      <c r="B168" s="2" t="s">
        <v>415</v>
      </c>
      <c r="C168" s="2" t="s">
        <v>414</v>
      </c>
      <c r="D168" s="2" t="s">
        <v>624</v>
      </c>
      <c r="E168" s="2"/>
      <c r="F168" s="2"/>
      <c r="G168" s="2" t="s">
        <v>1062</v>
      </c>
      <c r="H168" s="2"/>
      <c r="I168" s="2"/>
      <c r="J168" s="2" t="s">
        <v>634</v>
      </c>
      <c r="K168" s="2" t="s">
        <v>635</v>
      </c>
      <c r="L168" s="2"/>
      <c r="M168" s="2"/>
      <c r="N168" s="2"/>
      <c r="O168" s="2"/>
      <c r="P168" s="2"/>
    </row>
    <row r="169" spans="1:16" ht="27.6">
      <c r="A169" s="2" t="s">
        <v>1064</v>
      </c>
      <c r="B169" s="2" t="s">
        <v>417</v>
      </c>
      <c r="C169" s="2" t="s">
        <v>416</v>
      </c>
      <c r="D169" s="2" t="s">
        <v>624</v>
      </c>
      <c r="E169" s="2"/>
      <c r="F169" s="2"/>
      <c r="G169" s="2" t="s">
        <v>1062</v>
      </c>
      <c r="H169" s="2"/>
      <c r="I169" s="2"/>
      <c r="J169" s="2" t="s">
        <v>634</v>
      </c>
      <c r="K169" s="2" t="s">
        <v>635</v>
      </c>
      <c r="L169" s="2"/>
      <c r="M169" s="2"/>
      <c r="N169" s="2"/>
      <c r="O169" s="2"/>
      <c r="P169" s="2"/>
    </row>
    <row r="170" spans="1:16" ht="27.6">
      <c r="A170" s="2" t="s">
        <v>1065</v>
      </c>
      <c r="B170" s="2" t="s">
        <v>419</v>
      </c>
      <c r="C170" s="2" t="s">
        <v>418</v>
      </c>
      <c r="D170" s="2" t="s">
        <v>624</v>
      </c>
      <c r="E170" s="2" t="s">
        <v>624</v>
      </c>
      <c r="F170" s="2"/>
      <c r="G170" s="2" t="s">
        <v>1066</v>
      </c>
      <c r="H170" s="2"/>
      <c r="I170" s="2" t="s">
        <v>1067</v>
      </c>
      <c r="J170" s="2" t="s">
        <v>634</v>
      </c>
      <c r="K170" s="2" t="s">
        <v>635</v>
      </c>
      <c r="L170" s="2"/>
      <c r="M170" s="2"/>
      <c r="N170" s="2"/>
      <c r="O170" s="2"/>
      <c r="P170" s="2"/>
    </row>
    <row r="171" spans="1:16" ht="27.6">
      <c r="A171" s="2" t="s">
        <v>1068</v>
      </c>
      <c r="B171" s="2" t="s">
        <v>421</v>
      </c>
      <c r="C171" s="2" t="s">
        <v>420</v>
      </c>
      <c r="D171" s="2" t="s">
        <v>624</v>
      </c>
      <c r="E171" s="2"/>
      <c r="F171" s="2"/>
      <c r="G171" s="2" t="s">
        <v>1069</v>
      </c>
      <c r="H171" s="2"/>
      <c r="I171" s="2"/>
      <c r="J171" s="2" t="s">
        <v>634</v>
      </c>
      <c r="K171" s="2" t="s">
        <v>635</v>
      </c>
      <c r="L171" s="2"/>
      <c r="M171" s="2"/>
      <c r="N171" s="2"/>
      <c r="O171" s="2"/>
      <c r="P171" s="2"/>
    </row>
    <row r="172" spans="1:16" ht="27.6">
      <c r="A172" s="2" t="s">
        <v>1070</v>
      </c>
      <c r="B172" s="2" t="s">
        <v>423</v>
      </c>
      <c r="C172" s="2" t="s">
        <v>422</v>
      </c>
      <c r="D172" s="2" t="s">
        <v>624</v>
      </c>
      <c r="E172" s="2"/>
      <c r="F172" s="2"/>
      <c r="G172" s="2" t="s">
        <v>938</v>
      </c>
      <c r="H172" s="2" t="s">
        <v>1071</v>
      </c>
      <c r="I172" s="2"/>
      <c r="J172" s="2" t="s">
        <v>634</v>
      </c>
      <c r="K172" s="2" t="s">
        <v>635</v>
      </c>
      <c r="L172" s="2"/>
      <c r="M172" s="2"/>
      <c r="N172" s="2"/>
      <c r="O172" s="2"/>
      <c r="P172" s="2"/>
    </row>
    <row r="173" spans="1:16" ht="27.6">
      <c r="A173" s="2" t="s">
        <v>1072</v>
      </c>
      <c r="B173" s="2" t="s">
        <v>427</v>
      </c>
      <c r="C173" s="2" t="s">
        <v>426</v>
      </c>
      <c r="D173" s="2" t="s">
        <v>624</v>
      </c>
      <c r="E173" s="2" t="s">
        <v>624</v>
      </c>
      <c r="F173" s="2"/>
      <c r="G173" s="2" t="s">
        <v>1073</v>
      </c>
      <c r="H173" s="2"/>
      <c r="I173" s="2" t="s">
        <v>1074</v>
      </c>
      <c r="J173" s="2" t="s">
        <v>638</v>
      </c>
      <c r="K173" s="2" t="s">
        <v>1060</v>
      </c>
      <c r="L173" s="2"/>
      <c r="M173" s="2"/>
      <c r="N173" s="2"/>
      <c r="O173" s="2"/>
      <c r="P173" s="2"/>
    </row>
    <row r="174" spans="1:16" ht="27.6">
      <c r="A174" s="2" t="s">
        <v>1075</v>
      </c>
      <c r="B174" s="2" t="s">
        <v>430</v>
      </c>
      <c r="C174" s="2" t="s">
        <v>429</v>
      </c>
      <c r="D174" s="2" t="s">
        <v>624</v>
      </c>
      <c r="E174" s="2" t="s">
        <v>624</v>
      </c>
      <c r="F174" s="2"/>
      <c r="G174" s="2" t="s">
        <v>654</v>
      </c>
      <c r="H174" s="2"/>
      <c r="I174" s="2" t="s">
        <v>1076</v>
      </c>
      <c r="J174" s="2" t="s">
        <v>636</v>
      </c>
      <c r="K174" s="2" t="s">
        <v>1060</v>
      </c>
      <c r="L174" s="2"/>
      <c r="M174" s="2"/>
      <c r="N174" s="2"/>
      <c r="O174" s="2"/>
      <c r="P174" s="2"/>
    </row>
    <row r="175" spans="1:16" ht="27.6">
      <c r="A175" s="2" t="s">
        <v>1077</v>
      </c>
      <c r="B175" s="2" t="s">
        <v>432</v>
      </c>
      <c r="C175" s="2" t="s">
        <v>431</v>
      </c>
      <c r="D175" s="2" t="s">
        <v>624</v>
      </c>
      <c r="E175" s="2" t="s">
        <v>624</v>
      </c>
      <c r="F175" s="2"/>
      <c r="G175" s="2" t="s">
        <v>750</v>
      </c>
      <c r="H175" s="2"/>
      <c r="I175" s="2" t="s">
        <v>1078</v>
      </c>
      <c r="J175" s="2" t="s">
        <v>627</v>
      </c>
      <c r="K175" s="2" t="s">
        <v>1060</v>
      </c>
      <c r="L175" s="2"/>
      <c r="M175" s="2"/>
      <c r="N175" s="2"/>
      <c r="O175" s="2"/>
      <c r="P175" s="2"/>
    </row>
    <row r="176" spans="1:16" ht="27.6">
      <c r="A176" s="2" t="s">
        <v>1079</v>
      </c>
      <c r="B176" s="2" t="s">
        <v>434</v>
      </c>
      <c r="C176" s="2" t="s">
        <v>433</v>
      </c>
      <c r="D176" s="2" t="s">
        <v>624</v>
      </c>
      <c r="E176" s="2" t="s">
        <v>624</v>
      </c>
      <c r="F176" s="2"/>
      <c r="G176" s="2" t="s">
        <v>1080</v>
      </c>
      <c r="H176" s="2"/>
      <c r="I176" s="2" t="s">
        <v>1081</v>
      </c>
      <c r="J176" s="2" t="s">
        <v>627</v>
      </c>
      <c r="K176" s="2" t="s">
        <v>1060</v>
      </c>
      <c r="L176" s="2"/>
      <c r="M176" s="2"/>
      <c r="N176" s="2"/>
      <c r="O176" s="2"/>
      <c r="P176" s="2"/>
    </row>
    <row r="177" spans="1:16" ht="27.6">
      <c r="A177" s="2" t="s">
        <v>1082</v>
      </c>
      <c r="B177" s="2" t="s">
        <v>436</v>
      </c>
      <c r="C177" s="2" t="s">
        <v>435</v>
      </c>
      <c r="D177" s="2" t="s">
        <v>624</v>
      </c>
      <c r="E177" s="2" t="s">
        <v>624</v>
      </c>
      <c r="F177" s="2"/>
      <c r="G177" s="2" t="s">
        <v>1083</v>
      </c>
      <c r="H177" s="2"/>
      <c r="I177" s="2" t="s">
        <v>1084</v>
      </c>
      <c r="J177" s="2" t="s">
        <v>636</v>
      </c>
      <c r="K177" s="2" t="s">
        <v>1060</v>
      </c>
      <c r="L177" s="2"/>
      <c r="M177" s="2"/>
      <c r="N177" s="2"/>
      <c r="O177" s="2"/>
      <c r="P177" s="2"/>
    </row>
    <row r="178" spans="1:16" ht="27.6">
      <c r="A178" s="2" t="s">
        <v>1085</v>
      </c>
      <c r="B178" s="2" t="s">
        <v>438</v>
      </c>
      <c r="C178" s="2" t="s">
        <v>437</v>
      </c>
      <c r="D178" s="2" t="s">
        <v>624</v>
      </c>
      <c r="E178" s="2" t="s">
        <v>624</v>
      </c>
      <c r="F178" s="2"/>
      <c r="G178" s="2" t="s">
        <v>1083</v>
      </c>
      <c r="H178" s="2"/>
      <c r="I178" s="2" t="s">
        <v>1086</v>
      </c>
      <c r="J178" s="2" t="s">
        <v>636</v>
      </c>
      <c r="K178" s="2" t="s">
        <v>1060</v>
      </c>
      <c r="L178" s="2"/>
      <c r="M178" s="2"/>
      <c r="N178" s="2"/>
      <c r="O178" s="2"/>
      <c r="P178" s="2"/>
    </row>
    <row r="179" spans="1:16" ht="27.6">
      <c r="A179" s="2" t="s">
        <v>1087</v>
      </c>
      <c r="B179" s="2" t="s">
        <v>440</v>
      </c>
      <c r="C179" s="2" t="s">
        <v>439</v>
      </c>
      <c r="D179" s="2" t="s">
        <v>624</v>
      </c>
      <c r="E179" s="2" t="s">
        <v>624</v>
      </c>
      <c r="F179" s="2"/>
      <c r="G179" s="2" t="s">
        <v>698</v>
      </c>
      <c r="H179" s="2"/>
      <c r="I179" s="2" t="s">
        <v>1088</v>
      </c>
      <c r="J179" s="2" t="s">
        <v>634</v>
      </c>
      <c r="K179" s="2" t="s">
        <v>635</v>
      </c>
      <c r="L179" s="2"/>
      <c r="M179" s="2"/>
      <c r="N179" s="2"/>
      <c r="O179" s="2"/>
      <c r="P179" s="2"/>
    </row>
    <row r="180" spans="1:16" ht="27.6">
      <c r="A180" s="2" t="s">
        <v>1089</v>
      </c>
      <c r="B180" s="2" t="s">
        <v>442</v>
      </c>
      <c r="C180" s="2" t="s">
        <v>441</v>
      </c>
      <c r="D180" s="2" t="s">
        <v>624</v>
      </c>
      <c r="E180" s="2" t="s">
        <v>624</v>
      </c>
      <c r="F180" s="2"/>
      <c r="G180" s="2" t="s">
        <v>1083</v>
      </c>
      <c r="H180" s="2"/>
      <c r="I180" s="2" t="s">
        <v>1090</v>
      </c>
      <c r="J180" s="2" t="s">
        <v>636</v>
      </c>
      <c r="K180" s="2" t="s">
        <v>1060</v>
      </c>
      <c r="L180" s="2"/>
      <c r="M180" s="2"/>
      <c r="N180" s="2"/>
      <c r="O180" s="2"/>
      <c r="P180" s="2"/>
    </row>
    <row r="181" spans="1:16" ht="27.6">
      <c r="A181" s="2" t="s">
        <v>1091</v>
      </c>
      <c r="B181" s="2" t="s">
        <v>444</v>
      </c>
      <c r="C181" s="2" t="s">
        <v>443</v>
      </c>
      <c r="D181" s="2" t="s">
        <v>624</v>
      </c>
      <c r="E181" s="2" t="s">
        <v>624</v>
      </c>
      <c r="F181" s="2"/>
      <c r="G181" s="2" t="s">
        <v>1092</v>
      </c>
      <c r="H181" s="2"/>
      <c r="I181" s="2" t="s">
        <v>1093</v>
      </c>
      <c r="J181" s="2" t="s">
        <v>638</v>
      </c>
      <c r="K181" s="2" t="s">
        <v>1060</v>
      </c>
      <c r="L181" s="2"/>
      <c r="M181" s="2"/>
      <c r="N181" s="2"/>
      <c r="O181" s="2"/>
      <c r="P181" s="2"/>
    </row>
    <row r="182" spans="1:16" ht="27.6">
      <c r="A182" s="2" t="s">
        <v>1094</v>
      </c>
      <c r="B182" s="2" t="s">
        <v>446</v>
      </c>
      <c r="C182" s="2" t="s">
        <v>445</v>
      </c>
      <c r="D182" s="2" t="s">
        <v>624</v>
      </c>
      <c r="E182" s="2" t="s">
        <v>624</v>
      </c>
      <c r="F182" s="2"/>
      <c r="G182" s="2" t="s">
        <v>698</v>
      </c>
      <c r="H182" s="2" t="s">
        <v>1095</v>
      </c>
      <c r="I182" s="2" t="s">
        <v>1096</v>
      </c>
      <c r="J182" s="2" t="s">
        <v>634</v>
      </c>
      <c r="K182" s="2" t="s">
        <v>1097</v>
      </c>
      <c r="L182" s="2"/>
      <c r="M182" s="2"/>
      <c r="N182" s="2"/>
      <c r="O182" s="2"/>
      <c r="P182" s="2"/>
    </row>
    <row r="183" spans="1:16" ht="27.6">
      <c r="A183" s="2" t="s">
        <v>1098</v>
      </c>
      <c r="B183" s="2" t="s">
        <v>449</v>
      </c>
      <c r="C183" s="2" t="s">
        <v>448</v>
      </c>
      <c r="D183" s="2" t="s">
        <v>624</v>
      </c>
      <c r="E183" s="2" t="s">
        <v>624</v>
      </c>
      <c r="F183" s="2"/>
      <c r="G183" s="2" t="s">
        <v>698</v>
      </c>
      <c r="H183" s="2"/>
      <c r="I183" s="2" t="s">
        <v>1099</v>
      </c>
      <c r="J183" s="2" t="s">
        <v>636</v>
      </c>
      <c r="K183" s="2" t="s">
        <v>1060</v>
      </c>
      <c r="L183" s="2"/>
      <c r="M183" s="2"/>
      <c r="N183" s="2"/>
      <c r="O183" s="2"/>
      <c r="P183" s="2"/>
    </row>
    <row r="184" spans="1:16" ht="27.6">
      <c r="A184" s="2" t="s">
        <v>1100</v>
      </c>
      <c r="B184" s="2" t="s">
        <v>451</v>
      </c>
      <c r="C184" s="2" t="s">
        <v>450</v>
      </c>
      <c r="D184" s="2" t="s">
        <v>624</v>
      </c>
      <c r="E184" s="2" t="s">
        <v>624</v>
      </c>
      <c r="F184" s="2"/>
      <c r="G184" s="2" t="s">
        <v>698</v>
      </c>
      <c r="H184" s="2"/>
      <c r="I184" s="2" t="s">
        <v>1101</v>
      </c>
      <c r="J184" s="2" t="s">
        <v>638</v>
      </c>
      <c r="K184" s="2" t="s">
        <v>1060</v>
      </c>
      <c r="L184" s="2"/>
      <c r="M184" s="2"/>
      <c r="N184" s="2"/>
      <c r="O184" s="2"/>
      <c r="P184" s="2"/>
    </row>
    <row r="185" spans="1:16" ht="27.6">
      <c r="A185" s="2" t="s">
        <v>1102</v>
      </c>
      <c r="B185" s="2" t="s">
        <v>453</v>
      </c>
      <c r="C185" s="2" t="s">
        <v>452</v>
      </c>
      <c r="D185" s="2" t="s">
        <v>624</v>
      </c>
      <c r="E185" s="2" t="s">
        <v>624</v>
      </c>
      <c r="F185" s="2"/>
      <c r="G185" s="2" t="s">
        <v>750</v>
      </c>
      <c r="H185" s="2"/>
      <c r="I185" s="2" t="s">
        <v>1103</v>
      </c>
      <c r="J185" s="2" t="s">
        <v>634</v>
      </c>
      <c r="K185" s="2" t="s">
        <v>635</v>
      </c>
      <c r="L185" s="2"/>
      <c r="M185" s="2"/>
      <c r="N185" s="2"/>
      <c r="O185" s="2"/>
      <c r="P185" s="2"/>
    </row>
    <row r="186" spans="1:16" ht="27.6">
      <c r="A186" s="2" t="s">
        <v>1104</v>
      </c>
      <c r="B186" s="2" t="s">
        <v>455</v>
      </c>
      <c r="C186" s="2" t="s">
        <v>454</v>
      </c>
      <c r="D186" s="2" t="s">
        <v>624</v>
      </c>
      <c r="E186" s="2" t="s">
        <v>624</v>
      </c>
      <c r="F186" s="2"/>
      <c r="G186" s="2" t="s">
        <v>1105</v>
      </c>
      <c r="H186" s="2"/>
      <c r="I186" s="2" t="s">
        <v>1106</v>
      </c>
      <c r="J186" s="2" t="s">
        <v>636</v>
      </c>
      <c r="K186" s="2" t="s">
        <v>1060</v>
      </c>
      <c r="L186" s="2"/>
      <c r="M186" s="2"/>
      <c r="N186" s="2"/>
      <c r="O186" s="2"/>
      <c r="P186" s="2"/>
    </row>
    <row r="187" spans="1:16" ht="27.6">
      <c r="A187" s="2" t="s">
        <v>1107</v>
      </c>
      <c r="B187" s="2" t="s">
        <v>457</v>
      </c>
      <c r="C187" s="2" t="s">
        <v>456</v>
      </c>
      <c r="D187" s="2" t="s">
        <v>624</v>
      </c>
      <c r="E187" s="2" t="s">
        <v>624</v>
      </c>
      <c r="F187" s="2"/>
      <c r="G187" s="2" t="s">
        <v>750</v>
      </c>
      <c r="H187" s="2" t="s">
        <v>1108</v>
      </c>
      <c r="I187" s="2" t="s">
        <v>1109</v>
      </c>
      <c r="J187" s="2" t="s">
        <v>634</v>
      </c>
      <c r="K187" s="2" t="s">
        <v>635</v>
      </c>
      <c r="L187" s="2"/>
      <c r="M187" s="2"/>
      <c r="N187" s="2"/>
      <c r="O187" s="2"/>
      <c r="P187" s="2"/>
    </row>
    <row r="188" spans="1:16" ht="27.6">
      <c r="A188" s="2" t="s">
        <v>1110</v>
      </c>
      <c r="B188" s="2" t="s">
        <v>460</v>
      </c>
      <c r="C188" s="2" t="s">
        <v>459</v>
      </c>
      <c r="D188" s="2" t="s">
        <v>624</v>
      </c>
      <c r="E188" s="2" t="s">
        <v>624</v>
      </c>
      <c r="F188" s="2"/>
      <c r="G188" s="2" t="s">
        <v>1111</v>
      </c>
      <c r="H188" s="2" t="s">
        <v>1112</v>
      </c>
      <c r="I188" s="2" t="s">
        <v>1113</v>
      </c>
      <c r="J188" s="2" t="s">
        <v>634</v>
      </c>
      <c r="K188" s="2" t="s">
        <v>1097</v>
      </c>
      <c r="L188" s="2"/>
      <c r="M188" s="2"/>
      <c r="N188" s="2"/>
      <c r="O188" s="2"/>
      <c r="P188" s="2"/>
    </row>
    <row r="189" spans="1:16" ht="27.6">
      <c r="A189" s="2" t="s">
        <v>1114</v>
      </c>
      <c r="B189" s="2" t="s">
        <v>463</v>
      </c>
      <c r="C189" s="2" t="s">
        <v>462</v>
      </c>
      <c r="D189" s="2" t="s">
        <v>624</v>
      </c>
      <c r="E189" s="2" t="s">
        <v>624</v>
      </c>
      <c r="F189" s="2"/>
      <c r="G189" s="2" t="s">
        <v>791</v>
      </c>
      <c r="H189" s="2" t="s">
        <v>1108</v>
      </c>
      <c r="I189" s="2"/>
      <c r="J189" s="2" t="s">
        <v>634</v>
      </c>
      <c r="K189" s="2" t="s">
        <v>635</v>
      </c>
      <c r="L189" s="2"/>
      <c r="M189" s="2"/>
      <c r="N189" s="2"/>
      <c r="O189" s="2"/>
      <c r="P189" s="2"/>
    </row>
    <row r="190" spans="1:16">
      <c r="A190" s="2" t="s">
        <v>1115</v>
      </c>
      <c r="B190" s="2" t="s">
        <v>466</v>
      </c>
      <c r="C190" s="2" t="s">
        <v>465</v>
      </c>
      <c r="D190" s="2" t="s">
        <v>624</v>
      </c>
      <c r="E190" s="2" t="s">
        <v>624</v>
      </c>
      <c r="F190" s="2"/>
      <c r="G190" s="2" t="s">
        <v>685</v>
      </c>
      <c r="H190" s="2"/>
      <c r="I190" s="2" t="s">
        <v>1116</v>
      </c>
      <c r="J190" s="2" t="s">
        <v>644</v>
      </c>
      <c r="K190" s="2" t="s">
        <v>1060</v>
      </c>
      <c r="L190" s="2"/>
      <c r="M190" s="2"/>
      <c r="N190" s="2"/>
      <c r="O190" s="2"/>
      <c r="P190" s="2"/>
    </row>
    <row r="191" spans="1:16" ht="27.6">
      <c r="A191" s="2" t="s">
        <v>1117</v>
      </c>
      <c r="B191" s="2" t="s">
        <v>469</v>
      </c>
      <c r="C191" s="2" t="s">
        <v>468</v>
      </c>
      <c r="D191" s="2" t="s">
        <v>624</v>
      </c>
      <c r="E191" s="2" t="s">
        <v>624</v>
      </c>
      <c r="F191" s="2"/>
      <c r="G191" s="2" t="s">
        <v>631</v>
      </c>
      <c r="H191" s="2"/>
      <c r="I191" s="2" t="s">
        <v>1118</v>
      </c>
      <c r="J191" s="2" t="s">
        <v>627</v>
      </c>
      <c r="K191" s="2" t="s">
        <v>1060</v>
      </c>
      <c r="L191" s="2"/>
      <c r="M191" s="2"/>
      <c r="N191" s="2"/>
      <c r="O191" s="2"/>
      <c r="P191" s="2"/>
    </row>
    <row r="192" spans="1:16" ht="27.6">
      <c r="A192" s="2" t="s">
        <v>1119</v>
      </c>
      <c r="B192" s="2" t="s">
        <v>472</v>
      </c>
      <c r="C192" s="2" t="s">
        <v>471</v>
      </c>
      <c r="D192" s="2" t="s">
        <v>624</v>
      </c>
      <c r="E192" s="2"/>
      <c r="F192" s="2"/>
      <c r="G192" s="2" t="s">
        <v>631</v>
      </c>
      <c r="H192" s="2"/>
      <c r="I192" s="2"/>
      <c r="J192" s="2" t="s">
        <v>634</v>
      </c>
      <c r="K192" s="2" t="s">
        <v>635</v>
      </c>
      <c r="L192" s="2"/>
      <c r="M192" s="2"/>
      <c r="N192" s="2"/>
      <c r="O192" s="2"/>
      <c r="P192" s="2"/>
    </row>
    <row r="193" spans="1:16" ht="41.4">
      <c r="A193" s="2" t="s">
        <v>1120</v>
      </c>
      <c r="B193" s="2" t="s">
        <v>474</v>
      </c>
      <c r="C193" s="2" t="s">
        <v>473</v>
      </c>
      <c r="D193" s="2" t="s">
        <v>624</v>
      </c>
      <c r="E193" s="2" t="s">
        <v>624</v>
      </c>
      <c r="F193" s="2"/>
      <c r="G193" s="2" t="s">
        <v>631</v>
      </c>
      <c r="H193" s="2"/>
      <c r="I193" s="2" t="s">
        <v>1121</v>
      </c>
      <c r="J193" s="2" t="s">
        <v>634</v>
      </c>
      <c r="K193" s="2" t="s">
        <v>635</v>
      </c>
      <c r="L193" s="2"/>
      <c r="M193" s="2"/>
      <c r="N193" s="2"/>
      <c r="O193" s="2"/>
      <c r="P193" s="2"/>
    </row>
    <row r="194" spans="1:16" ht="27.6">
      <c r="A194" s="2" t="s">
        <v>1122</v>
      </c>
      <c r="B194" s="2" t="s">
        <v>476</v>
      </c>
      <c r="C194" s="2" t="s">
        <v>475</v>
      </c>
      <c r="D194" s="2" t="s">
        <v>624</v>
      </c>
      <c r="E194" s="2" t="s">
        <v>624</v>
      </c>
      <c r="F194" s="2"/>
      <c r="G194" s="2" t="s">
        <v>1123</v>
      </c>
      <c r="H194" s="2"/>
      <c r="I194" s="2" t="s">
        <v>1124</v>
      </c>
      <c r="J194" s="2" t="s">
        <v>634</v>
      </c>
      <c r="K194" s="2" t="s">
        <v>635</v>
      </c>
      <c r="L194" s="2"/>
      <c r="M194" s="2"/>
      <c r="N194" s="2"/>
      <c r="O194" s="2"/>
      <c r="P194" s="2"/>
    </row>
    <row r="195" spans="1:16" ht="27.6">
      <c r="A195" s="2" t="s">
        <v>1125</v>
      </c>
      <c r="B195" s="2" t="s">
        <v>479</v>
      </c>
      <c r="C195" s="2" t="s">
        <v>478</v>
      </c>
      <c r="D195" s="2" t="s">
        <v>624</v>
      </c>
      <c r="E195" s="2" t="s">
        <v>624</v>
      </c>
      <c r="F195" s="2"/>
      <c r="G195" s="2" t="s">
        <v>632</v>
      </c>
      <c r="H195" s="2"/>
      <c r="I195" s="2" t="s">
        <v>1126</v>
      </c>
      <c r="J195" s="2" t="s">
        <v>634</v>
      </c>
      <c r="K195" s="2" t="s">
        <v>635</v>
      </c>
      <c r="L195" s="2"/>
      <c r="M195" s="2"/>
      <c r="N195" s="2"/>
      <c r="O195" s="2"/>
      <c r="P195" s="2"/>
    </row>
    <row r="196" spans="1:16" ht="27.6">
      <c r="A196" s="2" t="s">
        <v>1127</v>
      </c>
      <c r="B196" s="2" t="s">
        <v>481</v>
      </c>
      <c r="C196" s="2" t="s">
        <v>480</v>
      </c>
      <c r="D196" s="2" t="s">
        <v>624</v>
      </c>
      <c r="E196" s="2"/>
      <c r="F196" s="2"/>
      <c r="G196" s="2" t="s">
        <v>1128</v>
      </c>
      <c r="H196" s="2"/>
      <c r="I196" s="2"/>
      <c r="J196" s="2" t="s">
        <v>634</v>
      </c>
      <c r="K196" s="2" t="s">
        <v>635</v>
      </c>
      <c r="L196" s="2"/>
      <c r="M196" s="2"/>
      <c r="N196" s="2"/>
      <c r="O196" s="2"/>
      <c r="P196" s="2"/>
    </row>
    <row r="197" spans="1:16" ht="27.6">
      <c r="A197" s="2" t="s">
        <v>1129</v>
      </c>
      <c r="B197" s="2" t="s">
        <v>484</v>
      </c>
      <c r="C197" s="2" t="s">
        <v>483</v>
      </c>
      <c r="D197" s="2" t="s">
        <v>656</v>
      </c>
      <c r="E197" s="2" t="s">
        <v>656</v>
      </c>
      <c r="F197" s="2"/>
      <c r="G197" s="2" t="s">
        <v>631</v>
      </c>
      <c r="H197" s="2"/>
      <c r="I197" s="2" t="s">
        <v>1130</v>
      </c>
      <c r="J197" s="2" t="s">
        <v>634</v>
      </c>
      <c r="K197" s="2" t="s">
        <v>635</v>
      </c>
      <c r="L197" s="2" t="s">
        <v>1131</v>
      </c>
      <c r="M197" s="2" t="s">
        <v>1132</v>
      </c>
      <c r="N197" s="2" t="s">
        <v>631</v>
      </c>
      <c r="O197" s="2" t="s">
        <v>634</v>
      </c>
      <c r="P197" s="2"/>
    </row>
    <row r="198" spans="1:16" ht="27.6">
      <c r="A198" s="2" t="s">
        <v>1133</v>
      </c>
      <c r="B198" s="2" t="s">
        <v>486</v>
      </c>
      <c r="C198" s="2" t="s">
        <v>485</v>
      </c>
      <c r="D198" s="2" t="s">
        <v>638</v>
      </c>
      <c r="E198" s="2"/>
      <c r="F198" s="2"/>
      <c r="G198" s="2" t="s">
        <v>631</v>
      </c>
      <c r="H198" s="2"/>
      <c r="I198" s="2"/>
      <c r="J198" s="2" t="s">
        <v>634</v>
      </c>
      <c r="K198" s="2" t="s">
        <v>635</v>
      </c>
      <c r="L198" s="2"/>
      <c r="M198" s="2"/>
      <c r="N198" s="2"/>
      <c r="O198" s="2"/>
      <c r="P198" s="2"/>
    </row>
    <row r="199" spans="1:16" ht="27.6">
      <c r="A199" s="2" t="s">
        <v>1134</v>
      </c>
      <c r="B199" s="2" t="s">
        <v>489</v>
      </c>
      <c r="C199" s="2" t="s">
        <v>488</v>
      </c>
      <c r="D199" s="2" t="s">
        <v>638</v>
      </c>
      <c r="E199" s="2"/>
      <c r="F199" s="2"/>
      <c r="G199" s="2" t="s">
        <v>631</v>
      </c>
      <c r="H199" s="2"/>
      <c r="I199" s="2"/>
      <c r="J199" s="2" t="s">
        <v>634</v>
      </c>
      <c r="K199" s="2" t="s">
        <v>635</v>
      </c>
      <c r="L199" s="2"/>
      <c r="M199" s="2"/>
      <c r="N199" s="2"/>
      <c r="O199" s="2"/>
      <c r="P199" s="2"/>
    </row>
    <row r="200" spans="1:16">
      <c r="A200" s="2" t="s">
        <v>1135</v>
      </c>
      <c r="B200" s="2" t="s">
        <v>491</v>
      </c>
      <c r="C200" s="2" t="s">
        <v>490</v>
      </c>
      <c r="D200" s="2" t="s">
        <v>627</v>
      </c>
      <c r="E200" s="2" t="s">
        <v>627</v>
      </c>
      <c r="F200" s="2"/>
      <c r="G200" s="2" t="s">
        <v>631</v>
      </c>
      <c r="H200" s="2" t="s">
        <v>1136</v>
      </c>
      <c r="I200" s="2" t="s">
        <v>1137</v>
      </c>
      <c r="J200" s="2" t="s">
        <v>650</v>
      </c>
      <c r="K200" s="2" t="s">
        <v>1060</v>
      </c>
      <c r="L200" s="2"/>
      <c r="M200" s="2"/>
      <c r="N200" s="2"/>
      <c r="O200" s="2"/>
      <c r="P200" s="2"/>
    </row>
    <row r="201" spans="1:16" ht="27.6">
      <c r="A201" s="2" t="s">
        <v>1138</v>
      </c>
      <c r="B201" s="2" t="s">
        <v>494</v>
      </c>
      <c r="C201" s="2" t="s">
        <v>493</v>
      </c>
      <c r="D201" s="2" t="s">
        <v>624</v>
      </c>
      <c r="E201" s="2"/>
      <c r="F201" s="2"/>
      <c r="G201" s="2" t="s">
        <v>631</v>
      </c>
      <c r="H201" s="2"/>
      <c r="I201" s="2"/>
      <c r="J201" s="2" t="s">
        <v>634</v>
      </c>
      <c r="K201" s="2" t="s">
        <v>635</v>
      </c>
      <c r="L201" s="2"/>
      <c r="M201" s="2"/>
      <c r="N201" s="2"/>
      <c r="O201" s="2"/>
      <c r="P201" s="2"/>
    </row>
    <row r="202" spans="1:16" ht="27.6">
      <c r="A202" s="2" t="s">
        <v>1139</v>
      </c>
      <c r="B202" s="2" t="s">
        <v>496</v>
      </c>
      <c r="C202" s="2" t="s">
        <v>495</v>
      </c>
      <c r="D202" s="2" t="s">
        <v>624</v>
      </c>
      <c r="E202" s="2"/>
      <c r="F202" s="2"/>
      <c r="G202" s="2" t="s">
        <v>631</v>
      </c>
      <c r="H202" s="2"/>
      <c r="I202" s="2"/>
      <c r="J202" s="2" t="s">
        <v>634</v>
      </c>
      <c r="K202" s="2" t="s">
        <v>635</v>
      </c>
      <c r="L202" s="2"/>
      <c r="M202" s="2"/>
      <c r="N202" s="2"/>
      <c r="O202" s="2"/>
      <c r="P202" s="2"/>
    </row>
    <row r="203" spans="1:16" ht="27.6">
      <c r="A203" s="2" t="s">
        <v>1140</v>
      </c>
      <c r="B203" s="2" t="s">
        <v>498</v>
      </c>
      <c r="C203" s="2" t="s">
        <v>497</v>
      </c>
      <c r="D203" s="2" t="s">
        <v>817</v>
      </c>
      <c r="E203" s="2" t="s">
        <v>810</v>
      </c>
      <c r="F203" s="2" t="s">
        <v>636</v>
      </c>
      <c r="G203" s="2" t="s">
        <v>631</v>
      </c>
      <c r="H203" s="2"/>
      <c r="I203" s="2"/>
      <c r="J203" s="2" t="s">
        <v>634</v>
      </c>
      <c r="K203" s="2" t="s">
        <v>635</v>
      </c>
      <c r="L203" s="2"/>
      <c r="M203" s="2"/>
      <c r="N203" s="2"/>
      <c r="O203" s="2"/>
      <c r="P203" s="2"/>
    </row>
    <row r="204" spans="1:16">
      <c r="A204" s="2" t="s">
        <v>1141</v>
      </c>
      <c r="B204" s="2" t="s">
        <v>501</v>
      </c>
      <c r="C204" s="2" t="s">
        <v>500</v>
      </c>
      <c r="D204" s="2" t="s">
        <v>681</v>
      </c>
      <c r="E204" s="2" t="s">
        <v>694</v>
      </c>
      <c r="F204" s="2" t="s">
        <v>636</v>
      </c>
      <c r="G204" s="2" t="s">
        <v>631</v>
      </c>
      <c r="H204" s="2"/>
      <c r="I204" s="2" t="s">
        <v>1142</v>
      </c>
      <c r="J204" s="2" t="s">
        <v>627</v>
      </c>
      <c r="K204" s="2" t="s">
        <v>1060</v>
      </c>
      <c r="L204" s="2"/>
      <c r="M204" s="2"/>
      <c r="N204" s="2"/>
      <c r="O204" s="2"/>
      <c r="P204" s="2"/>
    </row>
    <row r="205" spans="1:16">
      <c r="A205" s="2" t="s">
        <v>1143</v>
      </c>
      <c r="B205" s="2" t="s">
        <v>503</v>
      </c>
      <c r="C205" s="2" t="s">
        <v>502</v>
      </c>
      <c r="D205" s="2" t="s">
        <v>965</v>
      </c>
      <c r="E205" s="2" t="s">
        <v>883</v>
      </c>
      <c r="F205" s="2" t="s">
        <v>724</v>
      </c>
      <c r="G205" s="2" t="s">
        <v>631</v>
      </c>
      <c r="H205" s="2" t="s">
        <v>1144</v>
      </c>
      <c r="I205" s="2" t="s">
        <v>1145</v>
      </c>
      <c r="J205" s="2" t="s">
        <v>636</v>
      </c>
      <c r="K205" s="2" t="s">
        <v>1060</v>
      </c>
      <c r="L205" s="2"/>
      <c r="M205" s="2"/>
      <c r="N205" s="2"/>
      <c r="O205" s="2"/>
      <c r="P205" s="2"/>
    </row>
    <row r="206" spans="1:16">
      <c r="A206" s="2" t="s">
        <v>1146</v>
      </c>
      <c r="B206" s="2" t="s">
        <v>506</v>
      </c>
      <c r="C206" s="2" t="s">
        <v>505</v>
      </c>
      <c r="D206" s="2" t="s">
        <v>850</v>
      </c>
      <c r="E206" s="2" t="s">
        <v>850</v>
      </c>
      <c r="F206" s="2"/>
      <c r="G206" s="2" t="s">
        <v>631</v>
      </c>
      <c r="H206" s="2"/>
      <c r="I206" s="2" t="s">
        <v>1147</v>
      </c>
      <c r="J206" s="2" t="s">
        <v>638</v>
      </c>
      <c r="K206" s="2" t="s">
        <v>1060</v>
      </c>
      <c r="L206" s="2"/>
      <c r="M206" s="2"/>
      <c r="N206" s="2"/>
      <c r="O206" s="2"/>
      <c r="P206" s="2"/>
    </row>
    <row r="207" spans="1:16" ht="27.6">
      <c r="A207" s="2" t="s">
        <v>1148</v>
      </c>
      <c r="B207" s="2" t="s">
        <v>508</v>
      </c>
      <c r="C207" s="2" t="s">
        <v>507</v>
      </c>
      <c r="D207" s="2" t="s">
        <v>667</v>
      </c>
      <c r="E207" s="2" t="s">
        <v>674</v>
      </c>
      <c r="F207" s="2" t="s">
        <v>627</v>
      </c>
      <c r="G207" s="2" t="s">
        <v>631</v>
      </c>
      <c r="H207" s="2"/>
      <c r="I207" s="2"/>
      <c r="J207" s="2" t="s">
        <v>634</v>
      </c>
      <c r="K207" s="2" t="s">
        <v>635</v>
      </c>
      <c r="L207" s="2"/>
      <c r="M207" s="2"/>
      <c r="N207" s="2"/>
      <c r="O207" s="2"/>
      <c r="P207" s="2"/>
    </row>
    <row r="208" spans="1:16" ht="27.6">
      <c r="A208" s="2" t="s">
        <v>1149</v>
      </c>
      <c r="B208" s="2" t="s">
        <v>510</v>
      </c>
      <c r="C208" s="2" t="s">
        <v>509</v>
      </c>
      <c r="D208" s="2" t="s">
        <v>636</v>
      </c>
      <c r="E208" s="2" t="s">
        <v>636</v>
      </c>
      <c r="F208" s="2"/>
      <c r="G208" s="2" t="s">
        <v>631</v>
      </c>
      <c r="H208" s="2"/>
      <c r="I208" s="2"/>
      <c r="J208" s="2" t="s">
        <v>634</v>
      </c>
      <c r="K208" s="2" t="s">
        <v>635</v>
      </c>
      <c r="L208" s="2"/>
      <c r="M208" s="2"/>
      <c r="N208" s="2"/>
      <c r="O208" s="2"/>
      <c r="P208" s="2"/>
    </row>
    <row r="209" spans="1:16" ht="27.6">
      <c r="A209" s="2" t="s">
        <v>1150</v>
      </c>
      <c r="B209" s="2" t="s">
        <v>512</v>
      </c>
      <c r="C209" s="2" t="s">
        <v>511</v>
      </c>
      <c r="D209" s="2" t="s">
        <v>624</v>
      </c>
      <c r="E209" s="2" t="s">
        <v>624</v>
      </c>
      <c r="F209" s="2"/>
      <c r="G209" s="2" t="s">
        <v>631</v>
      </c>
      <c r="H209" s="2"/>
      <c r="I209" s="2"/>
      <c r="J209" s="2" t="s">
        <v>634</v>
      </c>
      <c r="K209" s="2" t="s">
        <v>635</v>
      </c>
      <c r="L209" s="2"/>
      <c r="M209" s="2"/>
      <c r="N209" s="2"/>
      <c r="O209" s="2"/>
      <c r="P209" s="2"/>
    </row>
    <row r="210" spans="1:16" ht="27.6">
      <c r="A210" s="2" t="s">
        <v>1151</v>
      </c>
      <c r="B210" s="2" t="s">
        <v>514</v>
      </c>
      <c r="C210" s="2" t="s">
        <v>513</v>
      </c>
      <c r="D210" s="2" t="s">
        <v>636</v>
      </c>
      <c r="E210" s="2" t="s">
        <v>636</v>
      </c>
      <c r="F210" s="2"/>
      <c r="G210" s="2" t="s">
        <v>631</v>
      </c>
      <c r="H210" s="2"/>
      <c r="I210" s="2"/>
      <c r="J210" s="2" t="s">
        <v>634</v>
      </c>
      <c r="K210" s="2" t="s">
        <v>635</v>
      </c>
      <c r="L210" s="2"/>
      <c r="M210" s="2"/>
      <c r="N210" s="2"/>
      <c r="O210" s="2"/>
      <c r="P210" s="2"/>
    </row>
    <row r="211" spans="1:16" ht="27.6">
      <c r="A211" s="2" t="s">
        <v>1152</v>
      </c>
      <c r="B211" s="2" t="s">
        <v>516</v>
      </c>
      <c r="C211" s="2" t="s">
        <v>515</v>
      </c>
      <c r="D211" s="2" t="s">
        <v>627</v>
      </c>
      <c r="E211" s="2"/>
      <c r="F211" s="2"/>
      <c r="G211" s="2" t="s">
        <v>631</v>
      </c>
      <c r="H211" s="2"/>
      <c r="I211" s="2"/>
      <c r="J211" s="2" t="s">
        <v>634</v>
      </c>
      <c r="K211" s="2" t="s">
        <v>635</v>
      </c>
      <c r="L211" s="2"/>
      <c r="M211" s="2"/>
      <c r="N211" s="2"/>
      <c r="O211" s="2"/>
      <c r="P211" s="2"/>
    </row>
    <row r="212" spans="1:16" ht="27.6">
      <c r="A212" s="2" t="s">
        <v>1153</v>
      </c>
      <c r="B212" s="2" t="s">
        <v>518</v>
      </c>
      <c r="C212" s="2" t="s">
        <v>517</v>
      </c>
      <c r="D212" s="2" t="s">
        <v>638</v>
      </c>
      <c r="E212" s="2" t="s">
        <v>638</v>
      </c>
      <c r="F212" s="2"/>
      <c r="G212" s="2" t="s">
        <v>631</v>
      </c>
      <c r="H212" s="2"/>
      <c r="I212" s="2"/>
      <c r="J212" s="2" t="s">
        <v>634</v>
      </c>
      <c r="K212" s="2" t="s">
        <v>635</v>
      </c>
      <c r="L212" s="2"/>
      <c r="M212" s="2"/>
      <c r="N212" s="2"/>
      <c r="O212" s="2"/>
      <c r="P212" s="2"/>
    </row>
    <row r="213" spans="1:16" ht="27.6">
      <c r="A213" s="2" t="s">
        <v>1154</v>
      </c>
      <c r="B213" s="2" t="s">
        <v>520</v>
      </c>
      <c r="C213" s="2" t="s">
        <v>519</v>
      </c>
      <c r="D213" s="2" t="s">
        <v>627</v>
      </c>
      <c r="E213" s="2"/>
      <c r="F213" s="2"/>
      <c r="G213" s="2" t="s">
        <v>631</v>
      </c>
      <c r="H213" s="2"/>
      <c r="I213" s="2"/>
      <c r="J213" s="2" t="s">
        <v>634</v>
      </c>
      <c r="K213" s="2" t="s">
        <v>635</v>
      </c>
      <c r="L213" s="2"/>
      <c r="M213" s="2"/>
      <c r="N213" s="2"/>
      <c r="O213" s="2"/>
      <c r="P213" s="2"/>
    </row>
    <row r="214" spans="1:16">
      <c r="A214" s="2" t="s">
        <v>1155</v>
      </c>
      <c r="B214" s="2" t="s">
        <v>522</v>
      </c>
      <c r="C214" s="2" t="s">
        <v>521</v>
      </c>
      <c r="D214" s="2" t="s">
        <v>665</v>
      </c>
      <c r="E214" s="2" t="s">
        <v>1075</v>
      </c>
      <c r="F214" s="2" t="s">
        <v>1049</v>
      </c>
      <c r="G214" s="2" t="s">
        <v>631</v>
      </c>
      <c r="H214" s="2"/>
      <c r="I214" s="2" t="s">
        <v>1156</v>
      </c>
      <c r="J214" s="2" t="s">
        <v>627</v>
      </c>
      <c r="K214" s="2" t="s">
        <v>1060</v>
      </c>
      <c r="L214" s="2"/>
      <c r="M214" s="2"/>
      <c r="N214" s="2"/>
      <c r="O214" s="2"/>
      <c r="P214" s="2"/>
    </row>
    <row r="215" spans="1:16">
      <c r="A215" s="2" t="s">
        <v>1157</v>
      </c>
      <c r="B215" s="2" t="s">
        <v>524</v>
      </c>
      <c r="C215" s="2" t="s">
        <v>523</v>
      </c>
      <c r="D215" s="2" t="s">
        <v>708</v>
      </c>
      <c r="E215" s="2"/>
      <c r="F215" s="2" t="s">
        <v>708</v>
      </c>
      <c r="G215" s="2" t="s">
        <v>631</v>
      </c>
      <c r="H215" s="2"/>
      <c r="I215" s="2" t="s">
        <v>1158</v>
      </c>
      <c r="J215" s="2" t="s">
        <v>627</v>
      </c>
      <c r="K215" s="2" t="s">
        <v>1060</v>
      </c>
      <c r="L215" s="2"/>
      <c r="M215" s="2"/>
      <c r="N215" s="2"/>
      <c r="O215" s="2"/>
      <c r="P215" s="2"/>
    </row>
    <row r="216" spans="1:16" ht="27.6">
      <c r="A216" s="2" t="s">
        <v>1159</v>
      </c>
      <c r="B216" s="2" t="s">
        <v>526</v>
      </c>
      <c r="C216" s="2" t="s">
        <v>525</v>
      </c>
      <c r="D216" s="2" t="s">
        <v>624</v>
      </c>
      <c r="E216" s="2" t="s">
        <v>624</v>
      </c>
      <c r="F216" s="2"/>
      <c r="G216" s="2" t="s">
        <v>631</v>
      </c>
      <c r="H216" s="2" t="s">
        <v>1160</v>
      </c>
      <c r="I216" s="2" t="s">
        <v>1161</v>
      </c>
      <c r="J216" s="2" t="s">
        <v>634</v>
      </c>
      <c r="K216" s="2" t="s">
        <v>635</v>
      </c>
      <c r="L216" s="2" t="s">
        <v>1162</v>
      </c>
      <c r="M216" s="2" t="s">
        <v>1163</v>
      </c>
      <c r="N216" s="2" t="s">
        <v>631</v>
      </c>
      <c r="O216" s="2" t="s">
        <v>634</v>
      </c>
      <c r="P216" s="2"/>
    </row>
    <row r="217" spans="1:16" ht="27.6">
      <c r="A217" s="2" t="s">
        <v>1164</v>
      </c>
      <c r="B217" s="2" t="s">
        <v>529</v>
      </c>
      <c r="C217" s="2" t="s">
        <v>528</v>
      </c>
      <c r="D217" s="2" t="s">
        <v>624</v>
      </c>
      <c r="E217" s="2"/>
      <c r="F217" s="2"/>
      <c r="G217" s="2" t="s">
        <v>631</v>
      </c>
      <c r="H217" s="2"/>
      <c r="I217" s="2"/>
      <c r="J217" s="2" t="s">
        <v>634</v>
      </c>
      <c r="K217" s="2" t="s">
        <v>635</v>
      </c>
      <c r="L217" s="2"/>
      <c r="M217" s="2"/>
      <c r="N217" s="2"/>
      <c r="O217" s="2"/>
      <c r="P217" s="2"/>
    </row>
    <row r="218" spans="1:16" ht="27.6">
      <c r="A218" s="2" t="s">
        <v>1165</v>
      </c>
      <c r="B218" s="2" t="s">
        <v>531</v>
      </c>
      <c r="C218" s="2" t="s">
        <v>530</v>
      </c>
      <c r="D218" s="2" t="s">
        <v>624</v>
      </c>
      <c r="E218" s="2" t="s">
        <v>624</v>
      </c>
      <c r="F218" s="2"/>
      <c r="G218" s="2" t="s">
        <v>631</v>
      </c>
      <c r="H218" s="2"/>
      <c r="I218" s="2"/>
      <c r="J218" s="2" t="s">
        <v>634</v>
      </c>
      <c r="K218" s="2" t="s">
        <v>635</v>
      </c>
      <c r="L218" s="2"/>
      <c r="M218" s="2"/>
      <c r="N218" s="2"/>
      <c r="O218" s="2"/>
      <c r="P218" s="2"/>
    </row>
    <row r="219" spans="1:16" ht="27.6">
      <c r="A219" s="2" t="s">
        <v>1166</v>
      </c>
      <c r="B219" s="2" t="s">
        <v>533</v>
      </c>
      <c r="C219" s="2" t="s">
        <v>532</v>
      </c>
      <c r="D219" s="2" t="s">
        <v>627</v>
      </c>
      <c r="E219" s="2" t="s">
        <v>627</v>
      </c>
      <c r="F219" s="2"/>
      <c r="G219" s="2" t="s">
        <v>631</v>
      </c>
      <c r="H219" s="2" t="s">
        <v>1167</v>
      </c>
      <c r="I219" s="2"/>
      <c r="J219" s="2" t="s">
        <v>634</v>
      </c>
      <c r="K219" s="2" t="s">
        <v>635</v>
      </c>
      <c r="L219" s="2" t="s">
        <v>1168</v>
      </c>
      <c r="M219" s="2" t="s">
        <v>1169</v>
      </c>
      <c r="N219" s="2" t="s">
        <v>631</v>
      </c>
      <c r="O219" s="2" t="s">
        <v>634</v>
      </c>
      <c r="P219" s="2"/>
    </row>
    <row r="220" spans="1:16" ht="27.6">
      <c r="A220" s="2" t="s">
        <v>1170</v>
      </c>
      <c r="B220" s="2" t="s">
        <v>536</v>
      </c>
      <c r="C220" s="2" t="s">
        <v>535</v>
      </c>
      <c r="D220" s="2" t="s">
        <v>627</v>
      </c>
      <c r="E220" s="2" t="s">
        <v>627</v>
      </c>
      <c r="F220" s="2"/>
      <c r="G220" s="2" t="s">
        <v>631</v>
      </c>
      <c r="H220" s="2" t="s">
        <v>1108</v>
      </c>
      <c r="I220" s="2"/>
      <c r="J220" s="2" t="s">
        <v>634</v>
      </c>
      <c r="K220" s="2" t="s">
        <v>635</v>
      </c>
      <c r="L220" s="2" t="s">
        <v>1171</v>
      </c>
      <c r="M220" s="2" t="s">
        <v>1172</v>
      </c>
      <c r="N220" s="2" t="s">
        <v>631</v>
      </c>
      <c r="O220" s="2" t="s">
        <v>634</v>
      </c>
      <c r="P220" s="2"/>
    </row>
    <row r="221" spans="1:16" ht="27.6">
      <c r="A221" s="2" t="s">
        <v>1173</v>
      </c>
      <c r="B221" s="2" t="s">
        <v>538</v>
      </c>
      <c r="C221" s="2" t="s">
        <v>537</v>
      </c>
      <c r="D221" s="2" t="s">
        <v>624</v>
      </c>
      <c r="E221" s="2" t="s">
        <v>624</v>
      </c>
      <c r="F221" s="2"/>
      <c r="G221" s="2" t="s">
        <v>631</v>
      </c>
      <c r="H221" s="2" t="s">
        <v>1174</v>
      </c>
      <c r="I221" s="2"/>
      <c r="J221" s="2" t="s">
        <v>634</v>
      </c>
      <c r="K221" s="2" t="s">
        <v>635</v>
      </c>
      <c r="L221" s="2" t="s">
        <v>631</v>
      </c>
      <c r="M221" s="2" t="s">
        <v>634</v>
      </c>
      <c r="N221" s="2" t="s">
        <v>631</v>
      </c>
      <c r="O221" s="2" t="s">
        <v>634</v>
      </c>
      <c r="P221" s="2"/>
    </row>
    <row r="222" spans="1:16" ht="27.6">
      <c r="A222" s="2" t="s">
        <v>1175</v>
      </c>
      <c r="B222" s="2" t="s">
        <v>541</v>
      </c>
      <c r="C222" s="2" t="s">
        <v>540</v>
      </c>
      <c r="D222" s="2" t="s">
        <v>627</v>
      </c>
      <c r="E222" s="2"/>
      <c r="F222" s="2"/>
      <c r="G222" s="2" t="s">
        <v>631</v>
      </c>
      <c r="H222" s="2"/>
      <c r="I222" s="2"/>
      <c r="J222" s="2" t="s">
        <v>634</v>
      </c>
      <c r="K222" s="2" t="s">
        <v>635</v>
      </c>
      <c r="L222" s="2" t="s">
        <v>631</v>
      </c>
      <c r="M222" s="2" t="s">
        <v>634</v>
      </c>
      <c r="N222" s="2" t="s">
        <v>631</v>
      </c>
      <c r="O222" s="2" t="s">
        <v>634</v>
      </c>
      <c r="P222" s="2"/>
    </row>
    <row r="223" spans="1:16">
      <c r="A223" s="2" t="s">
        <v>1176</v>
      </c>
      <c r="B223" s="2" t="s">
        <v>543</v>
      </c>
      <c r="C223" s="2" t="s">
        <v>542</v>
      </c>
      <c r="D223" s="2" t="s">
        <v>636</v>
      </c>
      <c r="E223" s="2" t="s">
        <v>636</v>
      </c>
      <c r="F223" s="2"/>
      <c r="G223" s="2" t="s">
        <v>631</v>
      </c>
      <c r="H223" s="2"/>
      <c r="I223" s="2" t="s">
        <v>1177</v>
      </c>
      <c r="J223" s="2" t="s">
        <v>667</v>
      </c>
      <c r="K223" s="2" t="s">
        <v>1178</v>
      </c>
      <c r="L223" s="2" t="s">
        <v>631</v>
      </c>
      <c r="M223" s="2" t="s">
        <v>634</v>
      </c>
      <c r="N223" s="2" t="s">
        <v>631</v>
      </c>
      <c r="O223" s="2" t="s">
        <v>634</v>
      </c>
      <c r="P223" s="2"/>
    </row>
    <row r="224" spans="1:16" ht="27.6">
      <c r="A224" s="2" t="s">
        <v>1179</v>
      </c>
      <c r="B224" s="2" t="s">
        <v>545</v>
      </c>
      <c r="C224" s="2" t="s">
        <v>544</v>
      </c>
      <c r="D224" s="2" t="s">
        <v>650</v>
      </c>
      <c r="E224" s="2"/>
      <c r="F224" s="2"/>
      <c r="G224" s="2" t="s">
        <v>631</v>
      </c>
      <c r="H224" s="2"/>
      <c r="I224" s="2"/>
      <c r="J224" s="2" t="s">
        <v>634</v>
      </c>
      <c r="K224" s="2" t="s">
        <v>635</v>
      </c>
      <c r="L224" s="2" t="s">
        <v>631</v>
      </c>
      <c r="M224" s="2" t="s">
        <v>634</v>
      </c>
      <c r="N224" s="2" t="s">
        <v>631</v>
      </c>
      <c r="O224" s="2" t="s">
        <v>634</v>
      </c>
      <c r="P224" s="2"/>
    </row>
    <row r="225" spans="1:16" ht="27.6">
      <c r="A225" s="2" t="s">
        <v>1180</v>
      </c>
      <c r="B225" s="2" t="s">
        <v>547</v>
      </c>
      <c r="C225" s="2" t="s">
        <v>546</v>
      </c>
      <c r="D225" s="2" t="s">
        <v>656</v>
      </c>
      <c r="E225" s="2"/>
      <c r="F225" s="2"/>
      <c r="G225" s="2" t="s">
        <v>631</v>
      </c>
      <c r="H225" s="2"/>
      <c r="I225" s="2"/>
      <c r="J225" s="2" t="s">
        <v>634</v>
      </c>
      <c r="K225" s="2" t="s">
        <v>635</v>
      </c>
      <c r="L225" s="2" t="s">
        <v>631</v>
      </c>
      <c r="M225" s="2" t="s">
        <v>634</v>
      </c>
      <c r="N225" s="2" t="s">
        <v>631</v>
      </c>
      <c r="O225" s="2" t="s">
        <v>634</v>
      </c>
      <c r="P225" s="2"/>
    </row>
    <row r="226" spans="1:16">
      <c r="A226" s="2" t="s">
        <v>1181</v>
      </c>
      <c r="B226" s="2" t="s">
        <v>549</v>
      </c>
      <c r="C226" s="2" t="s">
        <v>548</v>
      </c>
      <c r="D226" s="2" t="s">
        <v>624</v>
      </c>
      <c r="E226" s="2" t="s">
        <v>624</v>
      </c>
      <c r="F226" s="2"/>
      <c r="G226" s="2" t="s">
        <v>631</v>
      </c>
      <c r="H226" s="2" t="s">
        <v>1182</v>
      </c>
      <c r="I226" s="2" t="s">
        <v>1183</v>
      </c>
      <c r="J226" s="2" t="s">
        <v>627</v>
      </c>
      <c r="K226" s="2" t="s">
        <v>1178</v>
      </c>
      <c r="L226" s="2" t="s">
        <v>631</v>
      </c>
      <c r="M226" s="2" t="s">
        <v>634</v>
      </c>
      <c r="N226" s="2" t="s">
        <v>631</v>
      </c>
      <c r="O226" s="2" t="s">
        <v>634</v>
      </c>
      <c r="P226" s="2"/>
    </row>
    <row r="227" spans="1:16" ht="27.6">
      <c r="A227" s="2" t="s">
        <v>1184</v>
      </c>
      <c r="B227" s="2" t="s">
        <v>552</v>
      </c>
      <c r="C227" s="2" t="s">
        <v>551</v>
      </c>
      <c r="D227" s="2" t="s">
        <v>624</v>
      </c>
      <c r="E227" s="2" t="s">
        <v>624</v>
      </c>
      <c r="F227" s="2"/>
      <c r="G227" s="2" t="s">
        <v>631</v>
      </c>
      <c r="H227" s="2"/>
      <c r="I227" s="2" t="s">
        <v>1185</v>
      </c>
      <c r="J227" s="2" t="s">
        <v>634</v>
      </c>
      <c r="K227" s="2" t="s">
        <v>635</v>
      </c>
      <c r="L227" s="2" t="s">
        <v>631</v>
      </c>
      <c r="M227" s="2" t="s">
        <v>634</v>
      </c>
      <c r="N227" s="2" t="s">
        <v>631</v>
      </c>
      <c r="O227" s="2" t="s">
        <v>634</v>
      </c>
      <c r="P227" s="2"/>
    </row>
    <row r="228" spans="1:16" ht="27.6">
      <c r="A228" s="2" t="s">
        <v>1186</v>
      </c>
      <c r="B228" s="2" t="s">
        <v>554</v>
      </c>
      <c r="C228" s="2" t="s">
        <v>553</v>
      </c>
      <c r="D228" s="2" t="s">
        <v>627</v>
      </c>
      <c r="E228" s="2"/>
      <c r="F228" s="2"/>
      <c r="G228" s="2" t="s">
        <v>631</v>
      </c>
      <c r="H228" s="2"/>
      <c r="I228" s="2"/>
      <c r="J228" s="2" t="s">
        <v>634</v>
      </c>
      <c r="K228" s="2" t="s">
        <v>635</v>
      </c>
      <c r="L228" s="2" t="s">
        <v>631</v>
      </c>
      <c r="M228" s="2" t="s">
        <v>634</v>
      </c>
      <c r="N228" s="2" t="s">
        <v>631</v>
      </c>
      <c r="O228" s="2" t="s">
        <v>634</v>
      </c>
      <c r="P228" s="2"/>
    </row>
    <row r="229" spans="1:16" ht="27.6">
      <c r="A229" s="2" t="s">
        <v>1187</v>
      </c>
      <c r="B229" s="2" t="s">
        <v>556</v>
      </c>
      <c r="C229" s="2" t="s">
        <v>555</v>
      </c>
      <c r="D229" s="2" t="s">
        <v>624</v>
      </c>
      <c r="E229" s="2" t="s">
        <v>624</v>
      </c>
      <c r="F229" s="2"/>
      <c r="G229" s="2" t="s">
        <v>631</v>
      </c>
      <c r="H229" s="2" t="s">
        <v>1108</v>
      </c>
      <c r="I229" s="2"/>
      <c r="J229" s="2" t="s">
        <v>634</v>
      </c>
      <c r="K229" s="2" t="s">
        <v>635</v>
      </c>
      <c r="L229" s="2" t="s">
        <v>631</v>
      </c>
      <c r="M229" s="2" t="s">
        <v>634</v>
      </c>
      <c r="N229" s="2" t="s">
        <v>631</v>
      </c>
      <c r="O229" s="2" t="s">
        <v>634</v>
      </c>
      <c r="P229" s="2"/>
    </row>
    <row r="230" spans="1:16" ht="27.6">
      <c r="A230" s="2" t="s">
        <v>1188</v>
      </c>
      <c r="B230" s="2" t="s">
        <v>558</v>
      </c>
      <c r="C230" s="2" t="s">
        <v>557</v>
      </c>
      <c r="D230" s="2" t="s">
        <v>624</v>
      </c>
      <c r="E230" s="2" t="s">
        <v>624</v>
      </c>
      <c r="F230" s="2"/>
      <c r="G230" s="2" t="s">
        <v>631</v>
      </c>
      <c r="H230" s="2" t="s">
        <v>1108</v>
      </c>
      <c r="I230" s="2"/>
      <c r="J230" s="2" t="s">
        <v>634</v>
      </c>
      <c r="K230" s="2" t="s">
        <v>635</v>
      </c>
      <c r="L230" s="2" t="s">
        <v>631</v>
      </c>
      <c r="M230" s="2" t="s">
        <v>634</v>
      </c>
      <c r="N230" s="2" t="s">
        <v>631</v>
      </c>
      <c r="O230" s="2" t="s">
        <v>634</v>
      </c>
      <c r="P230" s="2"/>
    </row>
    <row r="231" spans="1:16" ht="27.6">
      <c r="A231" s="2" t="s">
        <v>1189</v>
      </c>
      <c r="B231" s="2" t="s">
        <v>560</v>
      </c>
      <c r="C231" s="2" t="s">
        <v>559</v>
      </c>
      <c r="D231" s="2" t="s">
        <v>624</v>
      </c>
      <c r="E231" s="2" t="s">
        <v>624</v>
      </c>
      <c r="F231" s="2"/>
      <c r="G231" s="2" t="s">
        <v>631</v>
      </c>
      <c r="H231" s="2" t="s">
        <v>1108</v>
      </c>
      <c r="I231" s="2"/>
      <c r="J231" s="2" t="s">
        <v>634</v>
      </c>
      <c r="K231" s="2" t="s">
        <v>635</v>
      </c>
      <c r="L231" s="2" t="s">
        <v>631</v>
      </c>
      <c r="M231" s="2" t="s">
        <v>634</v>
      </c>
      <c r="N231" s="2" t="s">
        <v>631</v>
      </c>
      <c r="O231" s="2" t="s">
        <v>634</v>
      </c>
      <c r="P231" s="2"/>
    </row>
    <row r="232" spans="1:16">
      <c r="A232" s="2" t="s">
        <v>1190</v>
      </c>
      <c r="B232" s="2" t="s">
        <v>562</v>
      </c>
      <c r="C232" s="2" t="s">
        <v>561</v>
      </c>
      <c r="D232" s="2" t="s">
        <v>624</v>
      </c>
      <c r="E232" s="2" t="s">
        <v>624</v>
      </c>
      <c r="F232" s="2"/>
      <c r="G232" s="2" t="s">
        <v>631</v>
      </c>
      <c r="H232" s="2"/>
      <c r="I232" s="2" t="s">
        <v>1191</v>
      </c>
      <c r="J232" s="2" t="s">
        <v>627</v>
      </c>
      <c r="K232" s="2" t="s">
        <v>1178</v>
      </c>
      <c r="L232" s="2" t="s">
        <v>631</v>
      </c>
      <c r="M232" s="2" t="s">
        <v>634</v>
      </c>
      <c r="N232" s="2" t="s">
        <v>631</v>
      </c>
      <c r="O232" s="2" t="s">
        <v>634</v>
      </c>
      <c r="P232" s="2"/>
    </row>
    <row r="233" spans="1:16" ht="27.6">
      <c r="A233" s="2" t="s">
        <v>1192</v>
      </c>
      <c r="B233" s="2" t="s">
        <v>565</v>
      </c>
      <c r="C233" s="2" t="s">
        <v>564</v>
      </c>
      <c r="D233" s="2" t="s">
        <v>624</v>
      </c>
      <c r="E233" s="2"/>
      <c r="F233" s="2"/>
      <c r="G233" s="2" t="s">
        <v>631</v>
      </c>
      <c r="H233" s="2"/>
      <c r="I233" s="2"/>
      <c r="J233" s="2" t="s">
        <v>634</v>
      </c>
      <c r="K233" s="2" t="s">
        <v>635</v>
      </c>
      <c r="L233" s="2" t="s">
        <v>631</v>
      </c>
      <c r="M233" s="2" t="s">
        <v>634</v>
      </c>
      <c r="N233" s="2" t="s">
        <v>631</v>
      </c>
      <c r="O233" s="2" t="s">
        <v>634</v>
      </c>
      <c r="P233" s="2"/>
    </row>
    <row r="234" spans="1:16" ht="27.6">
      <c r="A234" s="2" t="s">
        <v>1193</v>
      </c>
      <c r="B234" s="2" t="s">
        <v>567</v>
      </c>
      <c r="C234" s="2" t="s">
        <v>566</v>
      </c>
      <c r="D234" s="2" t="s">
        <v>624</v>
      </c>
      <c r="E234" s="2"/>
      <c r="F234" s="2"/>
      <c r="G234" s="2" t="s">
        <v>631</v>
      </c>
      <c r="H234" s="2"/>
      <c r="I234" s="2"/>
      <c r="J234" s="2" t="s">
        <v>634</v>
      </c>
      <c r="K234" s="2" t="s">
        <v>635</v>
      </c>
      <c r="L234" s="2" t="s">
        <v>631</v>
      </c>
      <c r="M234" s="2" t="s">
        <v>634</v>
      </c>
      <c r="N234" s="2" t="s">
        <v>631</v>
      </c>
      <c r="O234" s="2" t="s">
        <v>634</v>
      </c>
      <c r="P234" s="2"/>
    </row>
    <row r="235" spans="1:16" ht="27.6">
      <c r="A235" s="2" t="s">
        <v>1194</v>
      </c>
      <c r="B235" s="2" t="s">
        <v>569</v>
      </c>
      <c r="C235" s="2" t="s">
        <v>568</v>
      </c>
      <c r="D235" s="2" t="s">
        <v>624</v>
      </c>
      <c r="E235" s="2" t="s">
        <v>624</v>
      </c>
      <c r="F235" s="2"/>
      <c r="G235" s="2" t="s">
        <v>631</v>
      </c>
      <c r="H235" s="2"/>
      <c r="I235" s="2"/>
      <c r="J235" s="2" t="s">
        <v>634</v>
      </c>
      <c r="K235" s="2" t="s">
        <v>635</v>
      </c>
      <c r="L235" s="2" t="s">
        <v>631</v>
      </c>
      <c r="M235" s="2" t="s">
        <v>634</v>
      </c>
      <c r="N235" s="2" t="s">
        <v>631</v>
      </c>
      <c r="O235" s="2" t="s">
        <v>634</v>
      </c>
      <c r="P235" s="2"/>
    </row>
    <row r="236" spans="1:16" ht="27.6">
      <c r="A236" s="2" t="s">
        <v>1195</v>
      </c>
      <c r="B236" s="2" t="s">
        <v>571</v>
      </c>
      <c r="C236" s="2" t="s">
        <v>570</v>
      </c>
      <c r="D236" s="2" t="s">
        <v>627</v>
      </c>
      <c r="E236" s="2"/>
      <c r="F236" s="2"/>
      <c r="G236" s="2" t="s">
        <v>631</v>
      </c>
      <c r="H236" s="2"/>
      <c r="I236" s="2"/>
      <c r="J236" s="2" t="s">
        <v>634</v>
      </c>
      <c r="K236" s="2" t="s">
        <v>635</v>
      </c>
      <c r="L236" s="2" t="s">
        <v>631</v>
      </c>
      <c r="M236" s="2" t="s">
        <v>634</v>
      </c>
      <c r="N236" s="2" t="s">
        <v>631</v>
      </c>
      <c r="O236" s="2" t="s">
        <v>634</v>
      </c>
      <c r="P236" s="2"/>
    </row>
    <row r="237" spans="1:16" ht="27.6">
      <c r="A237" s="2" t="s">
        <v>1196</v>
      </c>
      <c r="B237" s="2" t="s">
        <v>573</v>
      </c>
      <c r="C237" s="2" t="s">
        <v>572</v>
      </c>
      <c r="D237" s="2" t="s">
        <v>627</v>
      </c>
      <c r="E237" s="2" t="s">
        <v>627</v>
      </c>
      <c r="F237" s="2"/>
      <c r="G237" s="2" t="s">
        <v>631</v>
      </c>
      <c r="H237" s="2"/>
      <c r="I237" s="2"/>
      <c r="J237" s="2" t="s">
        <v>634</v>
      </c>
      <c r="K237" s="2" t="s">
        <v>635</v>
      </c>
      <c r="L237" s="2" t="s">
        <v>631</v>
      </c>
      <c r="M237" s="2" t="s">
        <v>634</v>
      </c>
      <c r="N237" s="2" t="s">
        <v>631</v>
      </c>
      <c r="O237" s="2" t="s">
        <v>634</v>
      </c>
      <c r="P237" s="2"/>
    </row>
    <row r="238" spans="1:16" ht="27.6">
      <c r="A238" s="2" t="s">
        <v>1197</v>
      </c>
      <c r="B238" s="2" t="s">
        <v>575</v>
      </c>
      <c r="C238" s="2" t="s">
        <v>574</v>
      </c>
      <c r="D238" s="2" t="s">
        <v>627</v>
      </c>
      <c r="E238" s="2" t="s">
        <v>627</v>
      </c>
      <c r="F238" s="2"/>
      <c r="G238" s="2" t="s">
        <v>631</v>
      </c>
      <c r="H238" s="2"/>
      <c r="I238" s="2"/>
      <c r="J238" s="2" t="s">
        <v>634</v>
      </c>
      <c r="K238" s="2" t="s">
        <v>635</v>
      </c>
      <c r="L238" s="2" t="s">
        <v>631</v>
      </c>
      <c r="M238" s="2" t="s">
        <v>634</v>
      </c>
      <c r="N238" s="2" t="s">
        <v>631</v>
      </c>
      <c r="O238" s="2" t="s">
        <v>634</v>
      </c>
      <c r="P238" s="2"/>
    </row>
    <row r="239" spans="1:16" ht="27.6">
      <c r="A239" s="2" t="s">
        <v>1198</v>
      </c>
      <c r="B239" s="2" t="s">
        <v>577</v>
      </c>
      <c r="C239" s="2" t="s">
        <v>576</v>
      </c>
      <c r="D239" s="2" t="s">
        <v>624</v>
      </c>
      <c r="E239" s="2"/>
      <c r="F239" s="2"/>
      <c r="G239" s="2" t="s">
        <v>631</v>
      </c>
      <c r="H239" s="2"/>
      <c r="I239" s="2"/>
      <c r="J239" s="2" t="s">
        <v>634</v>
      </c>
      <c r="K239" s="2" t="s">
        <v>635</v>
      </c>
      <c r="L239" s="2" t="s">
        <v>631</v>
      </c>
      <c r="M239" s="2" t="s">
        <v>634</v>
      </c>
      <c r="N239" s="2" t="s">
        <v>631</v>
      </c>
      <c r="O239" s="2" t="s">
        <v>634</v>
      </c>
      <c r="P239" s="2"/>
    </row>
    <row r="240" spans="1:16" ht="27.6">
      <c r="A240" s="2" t="s">
        <v>1199</v>
      </c>
      <c r="B240" s="2" t="s">
        <v>312</v>
      </c>
      <c r="C240" s="2" t="s">
        <v>578</v>
      </c>
      <c r="D240" s="2" t="s">
        <v>624</v>
      </c>
      <c r="E240" s="2"/>
      <c r="F240" s="2"/>
      <c r="G240" s="2" t="s">
        <v>631</v>
      </c>
      <c r="H240" s="2"/>
      <c r="I240" s="2"/>
      <c r="J240" s="2" t="s">
        <v>634</v>
      </c>
      <c r="K240" s="2" t="s">
        <v>635</v>
      </c>
      <c r="L240" s="2" t="s">
        <v>631</v>
      </c>
      <c r="M240" s="2" t="s">
        <v>634</v>
      </c>
      <c r="N240" s="2" t="s">
        <v>631</v>
      </c>
      <c r="O240" s="2" t="s">
        <v>634</v>
      </c>
      <c r="P240" s="2"/>
    </row>
    <row r="241" spans="1:16" ht="27.6">
      <c r="A241" s="2" t="s">
        <v>1200</v>
      </c>
      <c r="B241" s="2" t="s">
        <v>580</v>
      </c>
      <c r="C241" s="2" t="s">
        <v>579</v>
      </c>
      <c r="D241" s="2" t="s">
        <v>636</v>
      </c>
      <c r="E241" s="2"/>
      <c r="F241" s="2"/>
      <c r="G241" s="2" t="s">
        <v>631</v>
      </c>
      <c r="H241" s="2"/>
      <c r="I241" s="2"/>
      <c r="J241" s="2" t="s">
        <v>634</v>
      </c>
      <c r="K241" s="2" t="s">
        <v>635</v>
      </c>
      <c r="L241" s="2" t="s">
        <v>631</v>
      </c>
      <c r="M241" s="2" t="s">
        <v>634</v>
      </c>
      <c r="N241" s="2" t="s">
        <v>631</v>
      </c>
      <c r="O241" s="2" t="s">
        <v>634</v>
      </c>
      <c r="P241" s="2"/>
    </row>
    <row r="242" spans="1:16">
      <c r="A242" s="2" t="s">
        <v>1201</v>
      </c>
      <c r="B242" s="2" t="s">
        <v>582</v>
      </c>
      <c r="C242" s="2" t="s">
        <v>581</v>
      </c>
      <c r="D242" s="2" t="s">
        <v>644</v>
      </c>
      <c r="E242" s="2" t="s">
        <v>699</v>
      </c>
      <c r="F242" s="2" t="s">
        <v>676</v>
      </c>
      <c r="G242" s="2" t="s">
        <v>631</v>
      </c>
      <c r="H242" s="2" t="s">
        <v>1202</v>
      </c>
      <c r="I242" s="2" t="s">
        <v>1203</v>
      </c>
      <c r="J242" s="2" t="s">
        <v>624</v>
      </c>
      <c r="K242" s="2" t="s">
        <v>1178</v>
      </c>
      <c r="L242" s="2" t="s">
        <v>631</v>
      </c>
      <c r="M242" s="2" t="s">
        <v>634</v>
      </c>
      <c r="N242" s="2" t="s">
        <v>631</v>
      </c>
      <c r="O242" s="2" t="s">
        <v>634</v>
      </c>
      <c r="P242" s="2"/>
    </row>
    <row r="243" spans="1:16" ht="27.6">
      <c r="A243" s="2" t="s">
        <v>1204</v>
      </c>
      <c r="B243" s="2" t="s">
        <v>585</v>
      </c>
      <c r="C243" s="2" t="s">
        <v>584</v>
      </c>
      <c r="D243" s="2" t="s">
        <v>624</v>
      </c>
      <c r="E243" s="2" t="s">
        <v>627</v>
      </c>
      <c r="F243" s="2" t="s">
        <v>624</v>
      </c>
      <c r="G243" s="2" t="s">
        <v>631</v>
      </c>
      <c r="H243" s="2" t="s">
        <v>1108</v>
      </c>
      <c r="I243" s="2"/>
      <c r="J243" s="2" t="s">
        <v>634</v>
      </c>
      <c r="K243" s="2" t="s">
        <v>635</v>
      </c>
      <c r="L243" s="2" t="s">
        <v>631</v>
      </c>
      <c r="M243" s="2" t="s">
        <v>634</v>
      </c>
      <c r="N243" s="2" t="s">
        <v>631</v>
      </c>
      <c r="O243" s="2" t="s">
        <v>634</v>
      </c>
      <c r="P243" s="2"/>
    </row>
    <row r="244" spans="1:16" ht="27.6">
      <c r="A244" s="2" t="s">
        <v>1205</v>
      </c>
      <c r="B244" s="2" t="s">
        <v>587</v>
      </c>
      <c r="C244" s="2" t="s">
        <v>586</v>
      </c>
      <c r="D244" s="2" t="s">
        <v>624</v>
      </c>
      <c r="E244" s="2" t="s">
        <v>624</v>
      </c>
      <c r="F244" s="2"/>
      <c r="G244" s="2" t="s">
        <v>631</v>
      </c>
      <c r="H244" s="2" t="s">
        <v>1108</v>
      </c>
      <c r="I244" s="2"/>
      <c r="J244" s="2" t="s">
        <v>634</v>
      </c>
      <c r="K244" s="2" t="s">
        <v>635</v>
      </c>
      <c r="L244" s="2" t="s">
        <v>631</v>
      </c>
      <c r="M244" s="2" t="s">
        <v>634</v>
      </c>
      <c r="N244" s="2" t="s">
        <v>631</v>
      </c>
      <c r="O244" s="2" t="s">
        <v>634</v>
      </c>
      <c r="P244" s="2"/>
    </row>
    <row r="245" spans="1:16" ht="27.6">
      <c r="A245" s="2" t="s">
        <v>1206</v>
      </c>
      <c r="B245" s="2" t="s">
        <v>589</v>
      </c>
      <c r="C245" s="2" t="s">
        <v>588</v>
      </c>
      <c r="D245" s="2" t="s">
        <v>624</v>
      </c>
      <c r="E245" s="2" t="s">
        <v>624</v>
      </c>
      <c r="F245" s="2"/>
      <c r="G245" s="2" t="s">
        <v>631</v>
      </c>
      <c r="H245" s="2" t="s">
        <v>1108</v>
      </c>
      <c r="I245" s="2"/>
      <c r="J245" s="2" t="s">
        <v>634</v>
      </c>
      <c r="K245" s="2" t="s">
        <v>635</v>
      </c>
      <c r="L245" s="2" t="s">
        <v>631</v>
      </c>
      <c r="M245" s="2" t="s">
        <v>634</v>
      </c>
      <c r="N245" s="2" t="s">
        <v>631</v>
      </c>
      <c r="O245" s="2" t="s">
        <v>634</v>
      </c>
      <c r="P245" s="2"/>
    </row>
    <row r="246" spans="1:16">
      <c r="A246" s="2" t="s">
        <v>1207</v>
      </c>
      <c r="B246" s="2" t="s">
        <v>591</v>
      </c>
      <c r="C246" s="2" t="s">
        <v>590</v>
      </c>
      <c r="D246" s="2" t="s">
        <v>624</v>
      </c>
      <c r="E246" s="2" t="s">
        <v>624</v>
      </c>
      <c r="F246" s="2"/>
      <c r="G246" s="2" t="s">
        <v>631</v>
      </c>
      <c r="H246" s="2"/>
      <c r="I246" s="2" t="s">
        <v>1208</v>
      </c>
      <c r="J246" s="2" t="s">
        <v>636</v>
      </c>
      <c r="K246" s="2" t="s">
        <v>1178</v>
      </c>
      <c r="L246" s="2" t="s">
        <v>631</v>
      </c>
      <c r="M246" s="2" t="s">
        <v>634</v>
      </c>
      <c r="N246" s="2" t="s">
        <v>631</v>
      </c>
      <c r="O246" s="2" t="s">
        <v>634</v>
      </c>
      <c r="P246" s="2"/>
    </row>
    <row r="247" spans="1:16" ht="27.6">
      <c r="A247" s="2" t="s">
        <v>1209</v>
      </c>
      <c r="B247" s="2" t="s">
        <v>593</v>
      </c>
      <c r="C247" s="2" t="s">
        <v>592</v>
      </c>
      <c r="D247" s="2" t="s">
        <v>638</v>
      </c>
      <c r="E247" s="2" t="s">
        <v>641</v>
      </c>
      <c r="F247" s="2" t="s">
        <v>624</v>
      </c>
      <c r="G247" s="2" t="s">
        <v>631</v>
      </c>
      <c r="H247" s="2" t="s">
        <v>1108</v>
      </c>
      <c r="I247" s="2"/>
      <c r="J247" s="2" t="s">
        <v>634</v>
      </c>
      <c r="K247" s="2" t="s">
        <v>635</v>
      </c>
      <c r="L247" s="2" t="s">
        <v>631</v>
      </c>
      <c r="M247" s="2" t="s">
        <v>634</v>
      </c>
      <c r="N247" s="2" t="s">
        <v>631</v>
      </c>
      <c r="O247" s="2" t="s">
        <v>634</v>
      </c>
      <c r="P247" s="2"/>
    </row>
    <row r="248" spans="1:16" ht="27.6">
      <c r="A248" s="2" t="s">
        <v>1210</v>
      </c>
      <c r="B248" s="2" t="s">
        <v>595</v>
      </c>
      <c r="C248" s="2" t="s">
        <v>594</v>
      </c>
      <c r="D248" s="2" t="s">
        <v>636</v>
      </c>
      <c r="E248" s="2" t="s">
        <v>646</v>
      </c>
      <c r="F248" s="2" t="s">
        <v>638</v>
      </c>
      <c r="G248" s="2" t="s">
        <v>631</v>
      </c>
      <c r="H248" s="2" t="s">
        <v>1108</v>
      </c>
      <c r="I248" s="2"/>
      <c r="J248" s="2" t="s">
        <v>634</v>
      </c>
      <c r="K248" s="2" t="s">
        <v>635</v>
      </c>
      <c r="L248" s="2" t="s">
        <v>631</v>
      </c>
      <c r="M248" s="2" t="s">
        <v>634</v>
      </c>
      <c r="N248" s="2" t="s">
        <v>631</v>
      </c>
      <c r="O248" s="2" t="s">
        <v>634</v>
      </c>
      <c r="P248" s="2"/>
    </row>
    <row r="249" spans="1:16">
      <c r="A249" s="2" t="s">
        <v>1211</v>
      </c>
      <c r="B249" s="2" t="s">
        <v>597</v>
      </c>
      <c r="C249" s="2" t="s">
        <v>596</v>
      </c>
      <c r="D249" s="2" t="s">
        <v>624</v>
      </c>
      <c r="E249" s="2" t="s">
        <v>624</v>
      </c>
      <c r="F249" s="2"/>
      <c r="G249" s="2" t="s">
        <v>631</v>
      </c>
      <c r="H249" s="2"/>
      <c r="I249" s="2" t="s">
        <v>1212</v>
      </c>
      <c r="J249" s="2" t="s">
        <v>638</v>
      </c>
      <c r="K249" s="2" t="s">
        <v>1178</v>
      </c>
      <c r="L249" s="2" t="s">
        <v>631</v>
      </c>
      <c r="M249" s="2" t="s">
        <v>634</v>
      </c>
      <c r="N249" s="2" t="s">
        <v>631</v>
      </c>
      <c r="O249" s="2" t="s">
        <v>634</v>
      </c>
      <c r="P249" s="2"/>
    </row>
    <row r="250" spans="1:16" ht="27.6">
      <c r="A250" s="2" t="s">
        <v>1213</v>
      </c>
      <c r="B250" s="2" t="s">
        <v>600</v>
      </c>
      <c r="C250" s="2" t="s">
        <v>599</v>
      </c>
      <c r="D250" s="2" t="s">
        <v>627</v>
      </c>
      <c r="E250" s="2"/>
      <c r="F250" s="2"/>
      <c r="G250" s="2" t="s">
        <v>631</v>
      </c>
      <c r="H250" s="2" t="s">
        <v>1214</v>
      </c>
      <c r="I250" s="2"/>
      <c r="J250" s="2" t="s">
        <v>634</v>
      </c>
      <c r="K250" s="2" t="s">
        <v>635</v>
      </c>
      <c r="L250" s="2" t="s">
        <v>631</v>
      </c>
      <c r="M250" s="2" t="s">
        <v>634</v>
      </c>
      <c r="N250" s="2" t="s">
        <v>631</v>
      </c>
      <c r="O250" s="2" t="s">
        <v>634</v>
      </c>
      <c r="P250" s="2"/>
    </row>
    <row r="251" spans="1:16" ht="27.6">
      <c r="A251" s="2" t="s">
        <v>1215</v>
      </c>
      <c r="B251" s="2" t="s">
        <v>603</v>
      </c>
      <c r="C251" s="2" t="s">
        <v>602</v>
      </c>
      <c r="D251" s="2" t="s">
        <v>627</v>
      </c>
      <c r="E251" s="2" t="s">
        <v>627</v>
      </c>
      <c r="F251" s="2"/>
      <c r="G251" s="2" t="s">
        <v>631</v>
      </c>
      <c r="H251" s="2" t="s">
        <v>1108</v>
      </c>
      <c r="I251" s="2"/>
      <c r="J251" s="2" t="s">
        <v>634</v>
      </c>
      <c r="K251" s="2" t="s">
        <v>635</v>
      </c>
      <c r="L251" s="2" t="s">
        <v>631</v>
      </c>
      <c r="M251" s="2" t="s">
        <v>634</v>
      </c>
      <c r="N251" s="2" t="s">
        <v>631</v>
      </c>
      <c r="O251" s="2" t="s">
        <v>634</v>
      </c>
      <c r="P251" s="2"/>
    </row>
    <row r="252" spans="1:16" ht="27.6">
      <c r="A252" s="2" t="s">
        <v>1216</v>
      </c>
      <c r="B252" s="2" t="s">
        <v>605</v>
      </c>
      <c r="C252" s="2" t="s">
        <v>604</v>
      </c>
      <c r="D252" s="2" t="s">
        <v>674</v>
      </c>
      <c r="E252" s="2" t="s">
        <v>674</v>
      </c>
      <c r="F252" s="2"/>
      <c r="G252" s="2" t="s">
        <v>631</v>
      </c>
      <c r="H252" s="2" t="s">
        <v>1108</v>
      </c>
      <c r="I252" s="2"/>
      <c r="J252" s="2" t="s">
        <v>634</v>
      </c>
      <c r="K252" s="2" t="s">
        <v>635</v>
      </c>
      <c r="L252" s="2" t="s">
        <v>631</v>
      </c>
      <c r="M252" s="2" t="s">
        <v>634</v>
      </c>
      <c r="N252" s="2" t="s">
        <v>631</v>
      </c>
      <c r="O252" s="2" t="s">
        <v>634</v>
      </c>
      <c r="P252" s="2"/>
    </row>
    <row r="253" spans="1:16" ht="27.6">
      <c r="A253" s="3" t="s">
        <v>1217</v>
      </c>
      <c r="B253" s="3" t="s">
        <v>607</v>
      </c>
      <c r="C253" s="3" t="s">
        <v>606</v>
      </c>
      <c r="D253" s="3" t="s">
        <v>644</v>
      </c>
      <c r="E253" s="3" t="s">
        <v>644</v>
      </c>
      <c r="F253" s="3"/>
      <c r="G253" s="3" t="s">
        <v>631</v>
      </c>
      <c r="H253" s="3" t="s">
        <v>1108</v>
      </c>
      <c r="I253" s="3"/>
      <c r="J253" s="3" t="s">
        <v>634</v>
      </c>
      <c r="K253" s="3" t="s">
        <v>635</v>
      </c>
      <c r="L253" s="3" t="s">
        <v>631</v>
      </c>
      <c r="M253" s="3" t="s">
        <v>634</v>
      </c>
      <c r="N253" s="3" t="s">
        <v>631</v>
      </c>
      <c r="O253" s="3" t="s">
        <v>634</v>
      </c>
      <c r="P25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Звіт OLX</vt:lpstr>
      <vt:lpstr>Вихідні дані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Барзо Роман</dc:creator>
  <cp:lastModifiedBy>Барзо Роман</cp:lastModifiedBy>
  <dcterms:modified xsi:type="dcterms:W3CDTF">2026-09-16T09:09:39Z</dcterms:modified>
</cp:coreProperties>
</file>